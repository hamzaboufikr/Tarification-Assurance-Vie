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B7104434-67C0-4CDD-9378-A3409F7CC86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2" sheetId="3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E12" i="3"/>
  <c r="E15" i="3" s="1"/>
  <c r="E8" i="3"/>
  <c r="G74" i="3" s="1"/>
  <c r="E5" i="3"/>
  <c r="E9" i="3" s="1"/>
  <c r="K11" i="3" s="1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K106" i="3" l="1"/>
  <c r="K98" i="3"/>
  <c r="K90" i="3"/>
  <c r="K82" i="3"/>
  <c r="K74" i="3"/>
  <c r="K66" i="3"/>
  <c r="K58" i="3"/>
  <c r="K50" i="3"/>
  <c r="K42" i="3"/>
  <c r="K34" i="3"/>
  <c r="K24" i="3"/>
  <c r="G107" i="3"/>
  <c r="G91" i="3"/>
  <c r="G75" i="3"/>
  <c r="M7" i="3"/>
  <c r="M15" i="3"/>
  <c r="M23" i="3"/>
  <c r="M31" i="3"/>
  <c r="M39" i="3"/>
  <c r="M47" i="3"/>
  <c r="M55" i="3"/>
  <c r="M63" i="3"/>
  <c r="M71" i="3"/>
  <c r="M79" i="3"/>
  <c r="M87" i="3"/>
  <c r="M95" i="3"/>
  <c r="M103" i="3"/>
  <c r="K109" i="3"/>
  <c r="K10" i="3"/>
  <c r="K18" i="3"/>
  <c r="K26" i="3"/>
  <c r="M8" i="3"/>
  <c r="M16" i="3"/>
  <c r="M24" i="3"/>
  <c r="M32" i="3"/>
  <c r="M40" i="3"/>
  <c r="M48" i="3"/>
  <c r="M56" i="3"/>
  <c r="M64" i="3"/>
  <c r="M72" i="3"/>
  <c r="M80" i="3"/>
  <c r="M88" i="3"/>
  <c r="M96" i="3"/>
  <c r="M104" i="3"/>
  <c r="M9" i="3"/>
  <c r="M17" i="3"/>
  <c r="M25" i="3"/>
  <c r="M33" i="3"/>
  <c r="M41" i="3"/>
  <c r="M49" i="3"/>
  <c r="M57" i="3"/>
  <c r="M65" i="3"/>
  <c r="M73" i="3"/>
  <c r="M81" i="3"/>
  <c r="M89" i="3"/>
  <c r="M97" i="3"/>
  <c r="M105" i="3"/>
  <c r="M10" i="3"/>
  <c r="M18" i="3"/>
  <c r="M26" i="3"/>
  <c r="M34" i="3"/>
  <c r="M42" i="3"/>
  <c r="M50" i="3"/>
  <c r="M58" i="3"/>
  <c r="M66" i="3"/>
  <c r="M74" i="3"/>
  <c r="M82" i="3"/>
  <c r="M90" i="3"/>
  <c r="M98" i="3"/>
  <c r="M106" i="3"/>
  <c r="M3" i="3"/>
  <c r="M11" i="3"/>
  <c r="M19" i="3"/>
  <c r="M27" i="3"/>
  <c r="M35" i="3"/>
  <c r="M43" i="3"/>
  <c r="M51" i="3"/>
  <c r="M59" i="3"/>
  <c r="M67" i="3"/>
  <c r="M75" i="3"/>
  <c r="M83" i="3"/>
  <c r="M91" i="3"/>
  <c r="M99" i="3"/>
  <c r="M107" i="3"/>
  <c r="K6" i="3"/>
  <c r="K14" i="3"/>
  <c r="K22" i="3"/>
  <c r="K30" i="3"/>
  <c r="M4" i="3"/>
  <c r="M12" i="3"/>
  <c r="M20" i="3"/>
  <c r="M28" i="3"/>
  <c r="M36" i="3"/>
  <c r="M44" i="3"/>
  <c r="M52" i="3"/>
  <c r="M60" i="3"/>
  <c r="M68" i="3"/>
  <c r="M76" i="3"/>
  <c r="M84" i="3"/>
  <c r="M92" i="3"/>
  <c r="M100" i="3"/>
  <c r="M108" i="3"/>
  <c r="M5" i="3"/>
  <c r="M13" i="3"/>
  <c r="M21" i="3"/>
  <c r="M29" i="3"/>
  <c r="M37" i="3"/>
  <c r="M45" i="3"/>
  <c r="M53" i="3"/>
  <c r="M61" i="3"/>
  <c r="M69" i="3"/>
  <c r="M77" i="3"/>
  <c r="M85" i="3"/>
  <c r="M93" i="3"/>
  <c r="M101" i="3"/>
  <c r="M109" i="3"/>
  <c r="J109" i="3" s="1"/>
  <c r="K8" i="3"/>
  <c r="K16" i="3"/>
  <c r="M6" i="3"/>
  <c r="M14" i="3"/>
  <c r="M22" i="3"/>
  <c r="M30" i="3"/>
  <c r="M38" i="3"/>
  <c r="M46" i="3"/>
  <c r="M54" i="3"/>
  <c r="M62" i="3"/>
  <c r="M70" i="3"/>
  <c r="M78" i="3"/>
  <c r="M86" i="3"/>
  <c r="M94" i="3"/>
  <c r="M102" i="3"/>
  <c r="M2" i="3"/>
  <c r="K9" i="3"/>
  <c r="K17" i="3"/>
  <c r="K105" i="3"/>
  <c r="K97" i="3"/>
  <c r="K89" i="3"/>
  <c r="K81" i="3"/>
  <c r="K73" i="3"/>
  <c r="K65" i="3"/>
  <c r="K57" i="3"/>
  <c r="K49" i="3"/>
  <c r="K41" i="3"/>
  <c r="K33" i="3"/>
  <c r="K23" i="3"/>
  <c r="K7" i="3"/>
  <c r="G106" i="3"/>
  <c r="G90" i="3"/>
  <c r="L3" i="3"/>
  <c r="L11" i="3"/>
  <c r="L19" i="3"/>
  <c r="L27" i="3"/>
  <c r="L35" i="3"/>
  <c r="L43" i="3"/>
  <c r="L51" i="3"/>
  <c r="L59" i="3"/>
  <c r="L67" i="3"/>
  <c r="L75" i="3"/>
  <c r="L83" i="3"/>
  <c r="L91" i="3"/>
  <c r="L99" i="3"/>
  <c r="L107" i="3"/>
  <c r="G9" i="3"/>
  <c r="G17" i="3"/>
  <c r="G25" i="3"/>
  <c r="G33" i="3"/>
  <c r="G41" i="3"/>
  <c r="G49" i="3"/>
  <c r="G57" i="3"/>
  <c r="G65" i="3"/>
  <c r="G73" i="3"/>
  <c r="G81" i="3"/>
  <c r="G89" i="3"/>
  <c r="G97" i="3"/>
  <c r="G105" i="3"/>
  <c r="L4" i="3"/>
  <c r="L12" i="3"/>
  <c r="L20" i="3"/>
  <c r="L28" i="3"/>
  <c r="L36" i="3"/>
  <c r="L44" i="3"/>
  <c r="L52" i="3"/>
  <c r="L60" i="3"/>
  <c r="L68" i="3"/>
  <c r="L76" i="3"/>
  <c r="L84" i="3"/>
  <c r="L92" i="3"/>
  <c r="L100" i="3"/>
  <c r="L108" i="3"/>
  <c r="G10" i="3"/>
  <c r="G18" i="3"/>
  <c r="G26" i="3"/>
  <c r="G34" i="3"/>
  <c r="G42" i="3"/>
  <c r="G50" i="3"/>
  <c r="G58" i="3"/>
  <c r="G66" i="3"/>
  <c r="L5" i="3"/>
  <c r="L13" i="3"/>
  <c r="L21" i="3"/>
  <c r="L29" i="3"/>
  <c r="L37" i="3"/>
  <c r="L45" i="3"/>
  <c r="L53" i="3"/>
  <c r="L61" i="3"/>
  <c r="L69" i="3"/>
  <c r="L77" i="3"/>
  <c r="L85" i="3"/>
  <c r="L93" i="3"/>
  <c r="L101" i="3"/>
  <c r="L109" i="3"/>
  <c r="H109" i="3" s="1"/>
  <c r="G11" i="3"/>
  <c r="G19" i="3"/>
  <c r="G27" i="3"/>
  <c r="G35" i="3"/>
  <c r="G43" i="3"/>
  <c r="L6" i="3"/>
  <c r="L14" i="3"/>
  <c r="L22" i="3"/>
  <c r="L30" i="3"/>
  <c r="L38" i="3"/>
  <c r="L46" i="3"/>
  <c r="L54" i="3"/>
  <c r="L62" i="3"/>
  <c r="L70" i="3"/>
  <c r="L78" i="3"/>
  <c r="L86" i="3"/>
  <c r="L94" i="3"/>
  <c r="L102" i="3"/>
  <c r="L2" i="3"/>
  <c r="G12" i="3"/>
  <c r="G20" i="3"/>
  <c r="G28" i="3"/>
  <c r="G36" i="3"/>
  <c r="G44" i="3"/>
  <c r="L7" i="3"/>
  <c r="L15" i="3"/>
  <c r="L23" i="3"/>
  <c r="L31" i="3"/>
  <c r="L39" i="3"/>
  <c r="L47" i="3"/>
  <c r="L55" i="3"/>
  <c r="L63" i="3"/>
  <c r="L71" i="3"/>
  <c r="L79" i="3"/>
  <c r="L87" i="3"/>
  <c r="L95" i="3"/>
  <c r="L103" i="3"/>
  <c r="G5" i="3"/>
  <c r="G13" i="3"/>
  <c r="G21" i="3"/>
  <c r="G29" i="3"/>
  <c r="G37" i="3"/>
  <c r="G45" i="3"/>
  <c r="G53" i="3"/>
  <c r="G61" i="3"/>
  <c r="G69" i="3"/>
  <c r="G77" i="3"/>
  <c r="G85" i="3"/>
  <c r="G93" i="3"/>
  <c r="G101" i="3"/>
  <c r="G109" i="3"/>
  <c r="I109" i="3" s="1"/>
  <c r="L8" i="3"/>
  <c r="L16" i="3"/>
  <c r="L24" i="3"/>
  <c r="L32" i="3"/>
  <c r="L40" i="3"/>
  <c r="L48" i="3"/>
  <c r="L56" i="3"/>
  <c r="L64" i="3"/>
  <c r="L72" i="3"/>
  <c r="L80" i="3"/>
  <c r="L88" i="3"/>
  <c r="L96" i="3"/>
  <c r="L104" i="3"/>
  <c r="G6" i="3"/>
  <c r="G14" i="3"/>
  <c r="G22" i="3"/>
  <c r="G30" i="3"/>
  <c r="G38" i="3"/>
  <c r="G46" i="3"/>
  <c r="G54" i="3"/>
  <c r="G62" i="3"/>
  <c r="G70" i="3"/>
  <c r="L9" i="3"/>
  <c r="L17" i="3"/>
  <c r="L25" i="3"/>
  <c r="L33" i="3"/>
  <c r="L41" i="3"/>
  <c r="L49" i="3"/>
  <c r="L57" i="3"/>
  <c r="L65" i="3"/>
  <c r="L73" i="3"/>
  <c r="L81" i="3"/>
  <c r="L89" i="3"/>
  <c r="L97" i="3"/>
  <c r="L105" i="3"/>
  <c r="G7" i="3"/>
  <c r="G15" i="3"/>
  <c r="G23" i="3"/>
  <c r="G31" i="3"/>
  <c r="G39" i="3"/>
  <c r="G47" i="3"/>
  <c r="G55" i="3"/>
  <c r="G63" i="3"/>
  <c r="G71" i="3"/>
  <c r="G79" i="3"/>
  <c r="G87" i="3"/>
  <c r="G95" i="3"/>
  <c r="G103" i="3"/>
  <c r="G3" i="3"/>
  <c r="L10" i="3"/>
  <c r="L18" i="3"/>
  <c r="L26" i="3"/>
  <c r="L34" i="3"/>
  <c r="L42" i="3"/>
  <c r="L50" i="3"/>
  <c r="L58" i="3"/>
  <c r="L66" i="3"/>
  <c r="L74" i="3"/>
  <c r="L82" i="3"/>
  <c r="L90" i="3"/>
  <c r="L98" i="3"/>
  <c r="L106" i="3"/>
  <c r="G8" i="3"/>
  <c r="G16" i="3"/>
  <c r="G24" i="3"/>
  <c r="G32" i="3"/>
  <c r="G40" i="3"/>
  <c r="G48" i="3"/>
  <c r="G56" i="3"/>
  <c r="G64" i="3"/>
  <c r="G72" i="3"/>
  <c r="G80" i="3"/>
  <c r="G88" i="3"/>
  <c r="G96" i="3"/>
  <c r="G104" i="3"/>
  <c r="K96" i="3"/>
  <c r="K80" i="3"/>
  <c r="K72" i="3"/>
  <c r="K56" i="3"/>
  <c r="K48" i="3"/>
  <c r="K40" i="3"/>
  <c r="K32" i="3"/>
  <c r="K21" i="3"/>
  <c r="K5" i="3"/>
  <c r="G102" i="3"/>
  <c r="G86" i="3"/>
  <c r="G68" i="3"/>
  <c r="K104" i="3"/>
  <c r="K88" i="3"/>
  <c r="K64" i="3"/>
  <c r="K103" i="3"/>
  <c r="K95" i="3"/>
  <c r="K87" i="3"/>
  <c r="K79" i="3"/>
  <c r="K71" i="3"/>
  <c r="K63" i="3"/>
  <c r="K55" i="3"/>
  <c r="K47" i="3"/>
  <c r="K39" i="3"/>
  <c r="K31" i="3"/>
  <c r="K20" i="3"/>
  <c r="K4" i="3"/>
  <c r="G100" i="3"/>
  <c r="G84" i="3"/>
  <c r="G67" i="3"/>
  <c r="K102" i="3"/>
  <c r="K94" i="3"/>
  <c r="K86" i="3"/>
  <c r="K78" i="3"/>
  <c r="K70" i="3"/>
  <c r="K62" i="3"/>
  <c r="K54" i="3"/>
  <c r="K46" i="3"/>
  <c r="K38" i="3"/>
  <c r="K29" i="3"/>
  <c r="K19" i="3"/>
  <c r="K3" i="3"/>
  <c r="G99" i="3"/>
  <c r="G83" i="3"/>
  <c r="G60" i="3"/>
  <c r="K2" i="3"/>
  <c r="K101" i="3"/>
  <c r="K93" i="3"/>
  <c r="K85" i="3"/>
  <c r="K77" i="3"/>
  <c r="K69" i="3"/>
  <c r="K61" i="3"/>
  <c r="K53" i="3"/>
  <c r="K45" i="3"/>
  <c r="K37" i="3"/>
  <c r="K28" i="3"/>
  <c r="K15" i="3"/>
  <c r="G98" i="3"/>
  <c r="G82" i="3"/>
  <c r="G59" i="3"/>
  <c r="K108" i="3"/>
  <c r="K100" i="3"/>
  <c r="K92" i="3"/>
  <c r="K84" i="3"/>
  <c r="K76" i="3"/>
  <c r="K68" i="3"/>
  <c r="K60" i="3"/>
  <c r="K52" i="3"/>
  <c r="K44" i="3"/>
  <c r="K36" i="3"/>
  <c r="K27" i="3"/>
  <c r="K13" i="3"/>
  <c r="G4" i="3"/>
  <c r="G94" i="3"/>
  <c r="G78" i="3"/>
  <c r="G52" i="3"/>
  <c r="K107" i="3"/>
  <c r="K99" i="3"/>
  <c r="K91" i="3"/>
  <c r="K83" i="3"/>
  <c r="K75" i="3"/>
  <c r="K67" i="3"/>
  <c r="K59" i="3"/>
  <c r="K51" i="3"/>
  <c r="K43" i="3"/>
  <c r="K35" i="3"/>
  <c r="K25" i="3"/>
  <c r="K12" i="3"/>
  <c r="G108" i="3"/>
  <c r="G92" i="3"/>
  <c r="G76" i="3"/>
  <c r="G51" i="3"/>
  <c r="E13" i="3"/>
  <c r="I108" i="3" l="1"/>
  <c r="I51" i="3"/>
  <c r="I52" i="3"/>
  <c r="H106" i="3"/>
  <c r="I92" i="3"/>
  <c r="H98" i="3"/>
  <c r="I59" i="3"/>
  <c r="I83" i="3"/>
  <c r="I100" i="3"/>
  <c r="H50" i="3"/>
  <c r="J54" i="3"/>
  <c r="I94" i="3"/>
  <c r="I98" i="3"/>
  <c r="J102" i="3"/>
  <c r="J94" i="3"/>
  <c r="H82" i="3"/>
  <c r="H18" i="3"/>
  <c r="H105" i="3"/>
  <c r="J86" i="3"/>
  <c r="I104" i="3"/>
  <c r="I67" i="3"/>
  <c r="I88" i="3"/>
  <c r="I24" i="3"/>
  <c r="H66" i="3"/>
  <c r="I3" i="3"/>
  <c r="I2" i="3"/>
  <c r="I47" i="3"/>
  <c r="H89" i="3"/>
  <c r="H25" i="3"/>
  <c r="I30" i="3"/>
  <c r="H72" i="3"/>
  <c r="H8" i="3"/>
  <c r="I53" i="3"/>
  <c r="H95" i="3"/>
  <c r="H31" i="3"/>
  <c r="I12" i="3"/>
  <c r="H54" i="3"/>
  <c r="I35" i="3"/>
  <c r="H77" i="3"/>
  <c r="H13" i="3"/>
  <c r="I18" i="3"/>
  <c r="H60" i="3"/>
  <c r="I105" i="3"/>
  <c r="I41" i="3"/>
  <c r="H83" i="3"/>
  <c r="H19" i="3"/>
  <c r="J70" i="3"/>
  <c r="J6" i="3"/>
  <c r="J69" i="3"/>
  <c r="J5" i="3"/>
  <c r="J52" i="3"/>
  <c r="J67" i="3"/>
  <c r="J3" i="3"/>
  <c r="J50" i="3"/>
  <c r="J89" i="3"/>
  <c r="J25" i="3"/>
  <c r="J64" i="3"/>
  <c r="J71" i="3"/>
  <c r="J7" i="3"/>
  <c r="I4" i="3"/>
  <c r="I60" i="3"/>
  <c r="I84" i="3"/>
  <c r="I80" i="3"/>
  <c r="I16" i="3"/>
  <c r="H58" i="3"/>
  <c r="I103" i="3"/>
  <c r="I39" i="3"/>
  <c r="H81" i="3"/>
  <c r="H17" i="3"/>
  <c r="I22" i="3"/>
  <c r="H64" i="3"/>
  <c r="I45" i="3"/>
  <c r="H87" i="3"/>
  <c r="H23" i="3"/>
  <c r="H2" i="3"/>
  <c r="H46" i="3"/>
  <c r="I27" i="3"/>
  <c r="H69" i="3"/>
  <c r="H5" i="3"/>
  <c r="I10" i="3"/>
  <c r="H52" i="3"/>
  <c r="I97" i="3"/>
  <c r="I33" i="3"/>
  <c r="H75" i="3"/>
  <c r="H11" i="3"/>
  <c r="J62" i="3"/>
  <c r="J61" i="3"/>
  <c r="J108" i="3"/>
  <c r="J44" i="3"/>
  <c r="J59" i="3"/>
  <c r="J106" i="3"/>
  <c r="J42" i="3"/>
  <c r="J81" i="3"/>
  <c r="J17" i="3"/>
  <c r="J56" i="3"/>
  <c r="J63" i="3"/>
  <c r="I75" i="3"/>
  <c r="I72" i="3"/>
  <c r="I8" i="3"/>
  <c r="I31" i="3"/>
  <c r="H73" i="3"/>
  <c r="H9" i="3"/>
  <c r="I14" i="3"/>
  <c r="H56" i="3"/>
  <c r="I101" i="3"/>
  <c r="I37" i="3"/>
  <c r="H79" i="3"/>
  <c r="H15" i="3"/>
  <c r="H102" i="3"/>
  <c r="H38" i="3"/>
  <c r="I19" i="3"/>
  <c r="H61" i="3"/>
  <c r="I66" i="3"/>
  <c r="H108" i="3"/>
  <c r="H44" i="3"/>
  <c r="I89" i="3"/>
  <c r="I25" i="3"/>
  <c r="H67" i="3"/>
  <c r="H3" i="3"/>
  <c r="J53" i="3"/>
  <c r="J100" i="3"/>
  <c r="J36" i="3"/>
  <c r="J51" i="3"/>
  <c r="J98" i="3"/>
  <c r="J34" i="3"/>
  <c r="J73" i="3"/>
  <c r="J9" i="3"/>
  <c r="J48" i="3"/>
  <c r="J55" i="3"/>
  <c r="I91" i="3"/>
  <c r="I68" i="3"/>
  <c r="I95" i="3"/>
  <c r="I76" i="3"/>
  <c r="I78" i="3"/>
  <c r="I82" i="3"/>
  <c r="I99" i="3"/>
  <c r="I86" i="3"/>
  <c r="I64" i="3"/>
  <c r="H42" i="3"/>
  <c r="I87" i="3"/>
  <c r="I23" i="3"/>
  <c r="H65" i="3"/>
  <c r="I70" i="3"/>
  <c r="I6" i="3"/>
  <c r="H48" i="3"/>
  <c r="I93" i="3"/>
  <c r="I29" i="3"/>
  <c r="H71" i="3"/>
  <c r="H7" i="3"/>
  <c r="H94" i="3"/>
  <c r="H30" i="3"/>
  <c r="I11" i="3"/>
  <c r="H53" i="3"/>
  <c r="I58" i="3"/>
  <c r="H100" i="3"/>
  <c r="H36" i="3"/>
  <c r="I81" i="3"/>
  <c r="I17" i="3"/>
  <c r="H59" i="3"/>
  <c r="I90" i="3"/>
  <c r="J2" i="3"/>
  <c r="J46" i="3"/>
  <c r="J45" i="3"/>
  <c r="J92" i="3"/>
  <c r="J28" i="3"/>
  <c r="J107" i="3"/>
  <c r="J43" i="3"/>
  <c r="J90" i="3"/>
  <c r="J26" i="3"/>
  <c r="J65" i="3"/>
  <c r="J104" i="3"/>
  <c r="J40" i="3"/>
  <c r="J47" i="3"/>
  <c r="I107" i="3"/>
  <c r="I102" i="3"/>
  <c r="I56" i="3"/>
  <c r="H34" i="3"/>
  <c r="I79" i="3"/>
  <c r="I15" i="3"/>
  <c r="H57" i="3"/>
  <c r="I62" i="3"/>
  <c r="H104" i="3"/>
  <c r="H40" i="3"/>
  <c r="I85" i="3"/>
  <c r="I21" i="3"/>
  <c r="H63" i="3"/>
  <c r="I44" i="3"/>
  <c r="H86" i="3"/>
  <c r="H22" i="3"/>
  <c r="H45" i="3"/>
  <c r="I50" i="3"/>
  <c r="H92" i="3"/>
  <c r="H28" i="3"/>
  <c r="I73" i="3"/>
  <c r="I9" i="3"/>
  <c r="H51" i="3"/>
  <c r="I106" i="3"/>
  <c r="J38" i="3"/>
  <c r="J101" i="3"/>
  <c r="J37" i="3"/>
  <c r="J84" i="3"/>
  <c r="J20" i="3"/>
  <c r="J99" i="3"/>
  <c r="J35" i="3"/>
  <c r="J82" i="3"/>
  <c r="J18" i="3"/>
  <c r="J57" i="3"/>
  <c r="J96" i="3"/>
  <c r="J32" i="3"/>
  <c r="J103" i="3"/>
  <c r="J39" i="3"/>
  <c r="I48" i="3"/>
  <c r="H90" i="3"/>
  <c r="H26" i="3"/>
  <c r="I71" i="3"/>
  <c r="I7" i="3"/>
  <c r="H49" i="3"/>
  <c r="I54" i="3"/>
  <c r="H96" i="3"/>
  <c r="H32" i="3"/>
  <c r="I77" i="3"/>
  <c r="I13" i="3"/>
  <c r="H55" i="3"/>
  <c r="I36" i="3"/>
  <c r="H78" i="3"/>
  <c r="H14" i="3"/>
  <c r="H101" i="3"/>
  <c r="H37" i="3"/>
  <c r="I42" i="3"/>
  <c r="H84" i="3"/>
  <c r="H20" i="3"/>
  <c r="I65" i="3"/>
  <c r="H107" i="3"/>
  <c r="H43" i="3"/>
  <c r="J30" i="3"/>
  <c r="J93" i="3"/>
  <c r="J29" i="3"/>
  <c r="J76" i="3"/>
  <c r="J12" i="3"/>
  <c r="J91" i="3"/>
  <c r="J27" i="3"/>
  <c r="J74" i="3"/>
  <c r="J10" i="3"/>
  <c r="J49" i="3"/>
  <c r="J88" i="3"/>
  <c r="J24" i="3"/>
  <c r="J95" i="3"/>
  <c r="J31" i="3"/>
  <c r="I40" i="3"/>
  <c r="I63" i="3"/>
  <c r="I46" i="3"/>
  <c r="H88" i="3"/>
  <c r="H24" i="3"/>
  <c r="I69" i="3"/>
  <c r="I5" i="3"/>
  <c r="H47" i="3"/>
  <c r="I28" i="3"/>
  <c r="H70" i="3"/>
  <c r="H6" i="3"/>
  <c r="H93" i="3"/>
  <c r="H29" i="3"/>
  <c r="I34" i="3"/>
  <c r="H76" i="3"/>
  <c r="H12" i="3"/>
  <c r="I57" i="3"/>
  <c r="H99" i="3"/>
  <c r="H35" i="3"/>
  <c r="J22" i="3"/>
  <c r="J85" i="3"/>
  <c r="J21" i="3"/>
  <c r="J68" i="3"/>
  <c r="J4" i="3"/>
  <c r="J83" i="3"/>
  <c r="J19" i="3"/>
  <c r="J66" i="3"/>
  <c r="J105" i="3"/>
  <c r="J41" i="3"/>
  <c r="J80" i="3"/>
  <c r="J16" i="3"/>
  <c r="J87" i="3"/>
  <c r="J23" i="3"/>
  <c r="H41" i="3"/>
  <c r="I96" i="3"/>
  <c r="I32" i="3"/>
  <c r="H74" i="3"/>
  <c r="H10" i="3"/>
  <c r="I55" i="3"/>
  <c r="H97" i="3"/>
  <c r="H33" i="3"/>
  <c r="I38" i="3"/>
  <c r="H80" i="3"/>
  <c r="H16" i="3"/>
  <c r="I61" i="3"/>
  <c r="H103" i="3"/>
  <c r="H39" i="3"/>
  <c r="I20" i="3"/>
  <c r="H62" i="3"/>
  <c r="I43" i="3"/>
  <c r="H85" i="3"/>
  <c r="H21" i="3"/>
  <c r="I26" i="3"/>
  <c r="H68" i="3"/>
  <c r="H4" i="3"/>
  <c r="I49" i="3"/>
  <c r="H91" i="3"/>
  <c r="H27" i="3"/>
  <c r="J78" i="3"/>
  <c r="J14" i="3"/>
  <c r="J77" i="3"/>
  <c r="J13" i="3"/>
  <c r="J60" i="3"/>
  <c r="J75" i="3"/>
  <c r="J11" i="3"/>
  <c r="J58" i="3"/>
  <c r="J97" i="3"/>
  <c r="J33" i="3"/>
  <c r="J72" i="3"/>
  <c r="J8" i="3"/>
  <c r="J79" i="3"/>
  <c r="J15" i="3"/>
  <c r="I74" i="3"/>
  <c r="P7" i="3"/>
  <c r="O3" i="3"/>
  <c r="O4" i="3"/>
  <c r="P4" i="3"/>
  <c r="O9" i="3" l="1"/>
  <c r="Q4" i="3"/>
  <c r="O5" i="3" s="1"/>
  <c r="O7" i="3"/>
  <c r="Q7" i="3"/>
  <c r="O8" i="3" l="1"/>
</calcChain>
</file>

<file path=xl/sharedStrings.xml><?xml version="1.0" encoding="utf-8"?>
<sst xmlns="http://schemas.openxmlformats.org/spreadsheetml/2006/main" count="35" uniqueCount="33">
  <si>
    <t>age</t>
  </si>
  <si>
    <t>Lx-TD 88-90</t>
  </si>
  <si>
    <t>Age x</t>
  </si>
  <si>
    <t>Dx</t>
  </si>
  <si>
    <t>Mx</t>
  </si>
  <si>
    <t>Nx</t>
  </si>
  <si>
    <t>jMx</t>
  </si>
  <si>
    <t>jDx</t>
  </si>
  <si>
    <t>Taux i</t>
  </si>
  <si>
    <t>Taux j interêt</t>
  </si>
  <si>
    <t xml:space="preserve">V </t>
  </si>
  <si>
    <t>Vj</t>
  </si>
  <si>
    <t xml:space="preserve">Taux j' </t>
  </si>
  <si>
    <t>Cx</t>
  </si>
  <si>
    <t>dx</t>
  </si>
  <si>
    <t>Duré  n</t>
  </si>
  <si>
    <t xml:space="preserve">Prest C </t>
  </si>
  <si>
    <t>jCx</t>
  </si>
  <si>
    <t>indice [x]</t>
  </si>
  <si>
    <t>indice [x+n]</t>
  </si>
  <si>
    <t>numérateur</t>
  </si>
  <si>
    <t>dénominateur</t>
  </si>
  <si>
    <t>Prime annuel P</t>
  </si>
  <si>
    <t>L'anné k</t>
  </si>
  <si>
    <t>indice [x+k]</t>
  </si>
  <si>
    <t>PM(k)</t>
  </si>
  <si>
    <t>si k&gt;=n</t>
  </si>
  <si>
    <t>si k&lt;n</t>
  </si>
  <si>
    <t>1000</t>
  </si>
  <si>
    <t>0,001</t>
  </si>
  <si>
    <t>10</t>
  </si>
  <si>
    <t>34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</si>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</sst>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47625</xdr:rowOff>
        </xdr:from>
        <xdr:to>
          <xdr:col>5</xdr:col>
          <xdr:colOff>247650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Q109"/>
  <sheetViews>
    <sheetView tabSelected="1" zoomScale="120" zoomScaleNormal="120" workbookViewId="0">
      <selection activeCell="F7" sqref="F7"/>
    </sheetView>
  </sheetViews>
  <sheetFormatPr defaultColWidth="11.42578125" defaultRowHeight="15" x14ac:dyDescent="0.25"/>
  <cols>
    <col min="14" max="14" width="16.5703125" customWidth="1"/>
  </cols>
  <sheetData>
    <row r="1" spans="1:17" x14ac:dyDescent="0.25">
      <c r="A1" t="s">
        <v>0</v>
      </c>
      <c r="B1" t="s">
        <v>1</v>
      </c>
      <c r="C1" s="1" t="s">
        <v>14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13</v>
      </c>
      <c r="M1" s="1" t="s">
        <v>17</v>
      </c>
    </row>
    <row r="2" spans="1:17" x14ac:dyDescent="0.25">
      <c r="A2">
        <v>0</v>
      </c>
      <c r="B2">
        <v>100000</v>
      </c>
      <c r="C2">
        <f>B2-B3</f>
        <v>871</v>
      </c>
      <c r="G2">
        <f>B2</f>
        <v>100000</v>
      </c>
      <c r="H2">
        <f>SUM(L2:L109)</f>
        <v>92975.899322168305</v>
      </c>
      <c r="I2">
        <f>SUM(G2:G109)</f>
        <v>7031124.7785106078</v>
      </c>
      <c r="J2">
        <f>SUM(M2:M109)</f>
        <v>1.0877324864599236E+97</v>
      </c>
      <c r="K2">
        <f>(E$9^A2)*B2</f>
        <v>100000</v>
      </c>
      <c r="L2">
        <f>(E$8^(1+A2))*C2</f>
        <v>870.12987012987026</v>
      </c>
      <c r="M2">
        <f>(E$9^(1+A2))*C2</f>
        <v>6961.0389610389593</v>
      </c>
    </row>
    <row r="3" spans="1:17" x14ac:dyDescent="0.25">
      <c r="A3">
        <v>1</v>
      </c>
      <c r="B3">
        <v>99129</v>
      </c>
      <c r="C3">
        <f t="shared" ref="C3:C66" si="0">B3-B4</f>
        <v>72</v>
      </c>
      <c r="G3">
        <f>(E$8^A3)*B3</f>
        <v>99029.970029970049</v>
      </c>
      <c r="H3">
        <f t="shared" ref="H3:H66" si="1">SUM(L3:L110)</f>
        <v>92105.769452038425</v>
      </c>
      <c r="I3">
        <f t="shared" ref="I3:I66" si="2">SUM(G3:G110)</f>
        <v>6931124.7785106078</v>
      </c>
      <c r="J3">
        <f t="shared" ref="J3:J66" si="3">SUM(M3:M110)</f>
        <v>1.0877324864599236E+97</v>
      </c>
      <c r="K3">
        <f t="shared" ref="K3:K66" si="4">(E$9^A3)*B3</f>
        <v>792239.76023976004</v>
      </c>
      <c r="L3">
        <f t="shared" ref="L3:L66" si="5">(E$8^(1+A3))*C3</f>
        <v>71.856215712359585</v>
      </c>
      <c r="M3">
        <f t="shared" ref="M3:M66" si="6">(E$9^(1+A3))*C3</f>
        <v>4598.7978055910098</v>
      </c>
      <c r="N3" s="1" t="s">
        <v>20</v>
      </c>
      <c r="O3">
        <f ca="1">(E11*E8^(-0.5))*((INDIRECT("H"&amp;E13))/(INDIRECT("G"&amp;E12)))</f>
        <v>933.72477842813305</v>
      </c>
    </row>
    <row r="4" spans="1:17" x14ac:dyDescent="0.25">
      <c r="A4">
        <v>2</v>
      </c>
      <c r="B4">
        <v>99057</v>
      </c>
      <c r="C4">
        <f t="shared" si="0"/>
        <v>47</v>
      </c>
      <c r="D4" s="1" t="s">
        <v>2</v>
      </c>
      <c r="E4" t="s">
        <v>31</v>
      </c>
      <c r="G4">
        <f>(E$8^A4)*B4</f>
        <v>98859.182775266716</v>
      </c>
      <c r="H4">
        <f t="shared" si="1"/>
        <v>92033.913236326058</v>
      </c>
      <c r="I4">
        <f t="shared" si="2"/>
        <v>6832094.8084806371</v>
      </c>
      <c r="J4">
        <f t="shared" si="3"/>
        <v>1.0877324864599236E+97</v>
      </c>
      <c r="K4">
        <f t="shared" si="4"/>
        <v>6326987.6976170642</v>
      </c>
      <c r="L4">
        <f t="shared" si="5"/>
        <v>46.859281530704038</v>
      </c>
      <c r="M4">
        <f t="shared" si="6"/>
        <v>23991.952143720435</v>
      </c>
      <c r="N4" s="1" t="s">
        <v>21</v>
      </c>
      <c r="O4">
        <f ca="1">((INDIRECT("I"&amp;E12))-(INDIRECT("I"&amp;E13)))/INDIRECT("G"&amp;E12)</f>
        <v>9.8505470749899935</v>
      </c>
      <c r="P4">
        <f ca="1">((INDIRECT("J"&amp;E12))-INDIRECT("J"&amp;E13))/(INDIRECT("K"&amp;E12))</f>
        <v>0</v>
      </c>
      <c r="Q4">
        <f ca="1">O4-P4</f>
        <v>9.8505470749899935</v>
      </c>
    </row>
    <row r="5" spans="1:17" x14ac:dyDescent="0.25">
      <c r="A5">
        <v>3</v>
      </c>
      <c r="B5">
        <v>99010</v>
      </c>
      <c r="C5">
        <f t="shared" si="0"/>
        <v>33</v>
      </c>
      <c r="D5" s="1" t="s">
        <v>12</v>
      </c>
      <c r="E5">
        <f>(E6-E7)/(1+E7)</f>
        <v>-0.87487499999999996</v>
      </c>
      <c r="G5">
        <f t="shared" ref="G5:G68" si="7">(E$8^A5)*B5</f>
        <v>98713.56307138312</v>
      </c>
      <c r="H5">
        <f t="shared" si="1"/>
        <v>91987.053954795352</v>
      </c>
      <c r="I5">
        <f t="shared" si="2"/>
        <v>6733235.6257053707</v>
      </c>
      <c r="J5">
        <f t="shared" si="3"/>
        <v>1.0877324864599236E+97</v>
      </c>
      <c r="K5">
        <f t="shared" si="4"/>
        <v>50541344.29254809</v>
      </c>
      <c r="L5">
        <f t="shared" si="5"/>
        <v>32.868329341153171</v>
      </c>
      <c r="M5">
        <f t="shared" si="6"/>
        <v>134628.67698136315</v>
      </c>
      <c r="N5" s="1" t="s">
        <v>22</v>
      </c>
      <c r="O5">
        <f ca="1">O3/Q4</f>
        <v>94.78912910317537</v>
      </c>
    </row>
    <row r="6" spans="1:17" x14ac:dyDescent="0.25">
      <c r="A6">
        <v>4</v>
      </c>
      <c r="B6">
        <v>98977</v>
      </c>
      <c r="C6">
        <f t="shared" si="0"/>
        <v>29</v>
      </c>
      <c r="D6" s="1" t="s">
        <v>8</v>
      </c>
      <c r="E6" t="s">
        <v>29</v>
      </c>
      <c r="G6">
        <f t="shared" si="7"/>
        <v>98582.079793918718</v>
      </c>
      <c r="H6">
        <f t="shared" si="1"/>
        <v>91954.185625454207</v>
      </c>
      <c r="I6">
        <f t="shared" si="2"/>
        <v>6634522.0626339875</v>
      </c>
      <c r="J6">
        <f t="shared" si="3"/>
        <v>1.0877324864599236E+97</v>
      </c>
      <c r="K6">
        <f t="shared" si="4"/>
        <v>403792198.83589035</v>
      </c>
      <c r="L6">
        <f t="shared" si="5"/>
        <v>28.855433987026373</v>
      </c>
      <c r="M6">
        <f t="shared" si="6"/>
        <v>945534.8608868781</v>
      </c>
      <c r="N6" s="1"/>
    </row>
    <row r="7" spans="1:17" x14ac:dyDescent="0.25">
      <c r="A7">
        <v>5</v>
      </c>
      <c r="B7">
        <v>98948</v>
      </c>
      <c r="C7">
        <f t="shared" si="0"/>
        <v>27</v>
      </c>
      <c r="D7" s="1" t="s">
        <v>9</v>
      </c>
      <c r="E7" t="s">
        <v>32</v>
      </c>
      <c r="G7">
        <f t="shared" si="7"/>
        <v>98454.740763733993</v>
      </c>
      <c r="H7">
        <f t="shared" si="1"/>
        <v>91925.330191467176</v>
      </c>
      <c r="I7">
        <f t="shared" si="2"/>
        <v>6535939.9828400696</v>
      </c>
      <c r="J7">
        <f t="shared" si="3"/>
        <v>1.0877324864599236E+97</v>
      </c>
      <c r="K7">
        <f t="shared" si="4"/>
        <v>3226164945.3460283</v>
      </c>
      <c r="L7">
        <f t="shared" si="5"/>
        <v>26.838565491395233</v>
      </c>
      <c r="M7">
        <f t="shared" si="6"/>
        <v>7035568.9121762933</v>
      </c>
      <c r="N7" s="1"/>
      <c r="O7">
        <f ca="1">O5*((INDIRECT("J"&amp;E15))-INDIRECT("J"&amp;E13))/(INDIRECT("K"&amp;E15))</f>
        <v>0</v>
      </c>
      <c r="P7">
        <f ca="1">(E11*E8^(-0.5))*((INDIRECT("H"&amp;E13))/(INDIRECT("G"&amp;E15)))</f>
        <v>968.88156314892183</v>
      </c>
      <c r="Q7">
        <f ca="1">O5*((INDIRECT("I"&amp;E15))-INDIRECT("I"&amp;E13))/((INDIRECT("G"&amp;E15)))</f>
        <v>0</v>
      </c>
    </row>
    <row r="8" spans="1:17" x14ac:dyDescent="0.25">
      <c r="A8">
        <v>6</v>
      </c>
      <c r="B8">
        <v>98921</v>
      </c>
      <c r="C8">
        <f t="shared" si="0"/>
        <v>24</v>
      </c>
      <c r="D8" s="1" t="s">
        <v>10</v>
      </c>
      <c r="E8">
        <f>1/(1+E6)</f>
        <v>0.99900099900099915</v>
      </c>
      <c r="G8">
        <f t="shared" si="7"/>
        <v>98329.545813863253</v>
      </c>
      <c r="H8">
        <f t="shared" si="1"/>
        <v>91898.491625975788</v>
      </c>
      <c r="I8">
        <f t="shared" si="2"/>
        <v>6437485.2420763355</v>
      </c>
      <c r="J8">
        <f t="shared" si="3"/>
        <v>1.0877324864599236E+97</v>
      </c>
      <c r="K8">
        <f t="shared" si="4"/>
        <v>25776500457.8293</v>
      </c>
      <c r="L8">
        <f t="shared" si="5"/>
        <v>23.832669989028961</v>
      </c>
      <c r="M8">
        <f t="shared" si="6"/>
        <v>49980731.532831907</v>
      </c>
      <c r="N8" s="1" t="s">
        <v>25</v>
      </c>
      <c r="O8">
        <f ca="1">O7+P7-Q7</f>
        <v>968.88156314892183</v>
      </c>
      <c r="P8" s="1" t="s">
        <v>27</v>
      </c>
    </row>
    <row r="9" spans="1:17" x14ac:dyDescent="0.25">
      <c r="A9">
        <v>7</v>
      </c>
      <c r="B9">
        <v>98897</v>
      </c>
      <c r="C9">
        <f t="shared" si="0"/>
        <v>21</v>
      </c>
      <c r="D9" s="1" t="s">
        <v>11</v>
      </c>
      <c r="E9">
        <f>1/(1+E5)</f>
        <v>7.9920079920079896</v>
      </c>
      <c r="G9">
        <f t="shared" si="7"/>
        <v>98207.481829374883</v>
      </c>
      <c r="H9">
        <f t="shared" si="1"/>
        <v>91874.658955986757</v>
      </c>
      <c r="I9">
        <f t="shared" si="2"/>
        <v>6339155.6962624723</v>
      </c>
      <c r="J9">
        <f t="shared" si="3"/>
        <v>1.0877324864599236E+97</v>
      </c>
      <c r="K9">
        <f t="shared" si="4"/>
        <v>205956016933.43655</v>
      </c>
      <c r="L9">
        <f t="shared" si="5"/>
        <v>20.832753486913429</v>
      </c>
      <c r="M9">
        <f t="shared" si="6"/>
        <v>349515605.12469852</v>
      </c>
      <c r="N9" s="1" t="s">
        <v>25</v>
      </c>
      <c r="O9">
        <f ca="1">P7</f>
        <v>968.88156314892183</v>
      </c>
      <c r="P9" s="1" t="s">
        <v>26</v>
      </c>
    </row>
    <row r="10" spans="1:17" x14ac:dyDescent="0.25">
      <c r="A10">
        <v>8</v>
      </c>
      <c r="B10">
        <v>98876</v>
      </c>
      <c r="C10">
        <f t="shared" si="0"/>
        <v>21</v>
      </c>
      <c r="D10" s="1" t="s">
        <v>15</v>
      </c>
      <c r="E10" t="s">
        <v>30</v>
      </c>
      <c r="G10">
        <f t="shared" si="7"/>
        <v>98088.539703431059</v>
      </c>
      <c r="H10">
        <f t="shared" si="1"/>
        <v>91853.82620249984</v>
      </c>
      <c r="I10">
        <f t="shared" si="2"/>
        <v>6240948.2144330973</v>
      </c>
      <c r="J10">
        <f t="shared" si="3"/>
        <v>1.0877324864599236E+97</v>
      </c>
      <c r="K10">
        <f t="shared" si="4"/>
        <v>1645652617729.0327</v>
      </c>
      <c r="L10">
        <f t="shared" si="5"/>
        <v>20.811941545368061</v>
      </c>
      <c r="M10">
        <f t="shared" si="6"/>
        <v>2793331509.4880991</v>
      </c>
      <c r="N10" s="1"/>
      <c r="P10" s="1"/>
    </row>
    <row r="11" spans="1:17" x14ac:dyDescent="0.25">
      <c r="A11">
        <v>9</v>
      </c>
      <c r="B11">
        <v>98855</v>
      </c>
      <c r="C11">
        <f t="shared" si="0"/>
        <v>20</v>
      </c>
      <c r="D11" s="1" t="s">
        <v>16</v>
      </c>
      <c r="E11" t="s">
        <v>28</v>
      </c>
      <c r="G11">
        <f t="shared" si="7"/>
        <v>97969.737212731416</v>
      </c>
      <c r="H11">
        <f t="shared" si="1"/>
        <v>91833.014260954471</v>
      </c>
      <c r="I11">
        <f t="shared" si="2"/>
        <v>6142859.6747296667</v>
      </c>
      <c r="J11">
        <f t="shared" si="3"/>
        <v>1.0877324864599236E+97</v>
      </c>
      <c r="K11">
        <f t="shared" si="4"/>
        <v>13149275541449.811</v>
      </c>
      <c r="L11">
        <f t="shared" si="5"/>
        <v>19.801095614260088</v>
      </c>
      <c r="M11">
        <f t="shared" si="6"/>
        <v>21261264522.053932</v>
      </c>
    </row>
    <row r="12" spans="1:17" x14ac:dyDescent="0.25">
      <c r="A12">
        <v>10</v>
      </c>
      <c r="B12">
        <v>98835</v>
      </c>
      <c r="C12">
        <f t="shared" si="0"/>
        <v>21</v>
      </c>
      <c r="D12" s="1" t="s">
        <v>18</v>
      </c>
      <c r="E12">
        <f>E4+2</f>
        <v>36</v>
      </c>
      <c r="G12">
        <f t="shared" si="7"/>
        <v>97852.0642517698</v>
      </c>
      <c r="H12">
        <f t="shared" si="1"/>
        <v>91813.213165340218</v>
      </c>
      <c r="I12">
        <f t="shared" si="2"/>
        <v>6044889.9375169352</v>
      </c>
      <c r="J12">
        <f t="shared" si="3"/>
        <v>1.0877324864599236E+97</v>
      </c>
      <c r="K12">
        <f t="shared" si="4"/>
        <v>105067853951860.03</v>
      </c>
      <c r="L12">
        <f t="shared" si="5"/>
        <v>20.770380014958139</v>
      </c>
      <c r="M12">
        <f t="shared" si="6"/>
        <v>178416205779.47351</v>
      </c>
    </row>
    <row r="13" spans="1:17" x14ac:dyDescent="0.25">
      <c r="A13">
        <v>11</v>
      </c>
      <c r="B13">
        <v>98814</v>
      </c>
      <c r="C13">
        <f t="shared" si="0"/>
        <v>21</v>
      </c>
      <c r="D13" s="1" t="s">
        <v>19</v>
      </c>
      <c r="E13">
        <f>E12+E10</f>
        <v>46</v>
      </c>
      <c r="G13">
        <f t="shared" si="7"/>
        <v>97733.539561813013</v>
      </c>
      <c r="H13">
        <f t="shared" si="1"/>
        <v>91792.442785325256</v>
      </c>
      <c r="I13">
        <f t="shared" si="2"/>
        <v>5947037.8732651649</v>
      </c>
      <c r="J13">
        <f t="shared" si="3"/>
        <v>1.0877324864599236E+97</v>
      </c>
      <c r="K13">
        <f t="shared" si="4"/>
        <v>839524712280614</v>
      </c>
      <c r="L13">
        <f t="shared" si="5"/>
        <v>20.749630384573567</v>
      </c>
      <c r="M13">
        <f t="shared" si="6"/>
        <v>1425903742493.2944</v>
      </c>
    </row>
    <row r="14" spans="1:17" x14ac:dyDescent="0.25">
      <c r="A14">
        <v>12</v>
      </c>
      <c r="B14">
        <v>98793</v>
      </c>
      <c r="C14">
        <f t="shared" si="0"/>
        <v>22</v>
      </c>
      <c r="D14" s="1" t="s">
        <v>23</v>
      </c>
      <c r="E14" t="s">
        <v>30</v>
      </c>
      <c r="G14">
        <f t="shared" si="7"/>
        <v>97615.154027770302</v>
      </c>
      <c r="H14">
        <f t="shared" si="1"/>
        <v>91771.693154940687</v>
      </c>
      <c r="I14">
        <f t="shared" si="2"/>
        <v>5849304.3337033521</v>
      </c>
      <c r="J14">
        <f t="shared" si="3"/>
        <v>1.0877324864599236E+97</v>
      </c>
      <c r="K14">
        <f t="shared" si="4"/>
        <v>6708062306292383</v>
      </c>
      <c r="L14">
        <f t="shared" si="5"/>
        <v>21.715992029904314</v>
      </c>
      <c r="M14">
        <f t="shared" si="6"/>
        <v>11938492872785.297</v>
      </c>
    </row>
    <row r="15" spans="1:17" x14ac:dyDescent="0.25">
      <c r="A15">
        <v>13</v>
      </c>
      <c r="B15">
        <v>98771</v>
      </c>
      <c r="C15">
        <f t="shared" si="0"/>
        <v>26</v>
      </c>
      <c r="D15" s="1" t="s">
        <v>24</v>
      </c>
      <c r="E15">
        <f>E12+E14</f>
        <v>46</v>
      </c>
      <c r="G15">
        <f t="shared" si="7"/>
        <v>97495.920399349052</v>
      </c>
      <c r="H15">
        <f t="shared" si="1"/>
        <v>91749.977162910771</v>
      </c>
      <c r="I15">
        <f t="shared" si="2"/>
        <v>5751689.1796755809</v>
      </c>
      <c r="J15">
        <f t="shared" si="3"/>
        <v>1.0877324864599236E+97</v>
      </c>
      <c r="K15">
        <f t="shared" si="4"/>
        <v>5.359894906990348E+16</v>
      </c>
      <c r="L15">
        <f t="shared" si="5"/>
        <v>25.638715501657988</v>
      </c>
      <c r="M15">
        <f t="shared" si="6"/>
        <v>112760263261254.25</v>
      </c>
    </row>
    <row r="16" spans="1:17" x14ac:dyDescent="0.25">
      <c r="A16">
        <v>14</v>
      </c>
      <c r="B16">
        <v>98745</v>
      </c>
      <c r="C16">
        <f t="shared" si="0"/>
        <v>33</v>
      </c>
      <c r="G16">
        <f t="shared" si="7"/>
        <v>97372.883161969934</v>
      </c>
      <c r="H16">
        <f t="shared" si="1"/>
        <v>91724.338447409114</v>
      </c>
      <c r="I16">
        <f t="shared" si="2"/>
        <v>5654193.2592762318</v>
      </c>
      <c r="J16">
        <f t="shared" si="3"/>
        <v>1.0877324864599236E+97</v>
      </c>
      <c r="K16">
        <f t="shared" si="4"/>
        <v>4.2825046906663654E+17</v>
      </c>
      <c r="L16">
        <f t="shared" si="5"/>
        <v>32.508937660597624</v>
      </c>
      <c r="M16">
        <f t="shared" si="6"/>
        <v>1143806558863102.8</v>
      </c>
    </row>
    <row r="17" spans="1:13" x14ac:dyDescent="0.25">
      <c r="A17">
        <v>15</v>
      </c>
      <c r="B17">
        <v>98712</v>
      </c>
      <c r="C17">
        <f t="shared" si="0"/>
        <v>45</v>
      </c>
      <c r="G17">
        <f t="shared" si="7"/>
        <v>97243.098616754927</v>
      </c>
      <c r="H17">
        <f t="shared" si="1"/>
        <v>91691.829509748524</v>
      </c>
      <c r="I17">
        <f t="shared" si="2"/>
        <v>5556820.3761142623</v>
      </c>
      <c r="J17">
        <f t="shared" si="3"/>
        <v>1.0877324864599236E+97</v>
      </c>
      <c r="K17">
        <f t="shared" si="4"/>
        <v>3.4214373648028667E+18</v>
      </c>
      <c r="L17">
        <f t="shared" si="5"/>
        <v>44.286083453724856</v>
      </c>
      <c r="M17">
        <f t="shared" si="6"/>
        <v>1.2465424308743282E+16</v>
      </c>
    </row>
    <row r="18" spans="1:13" x14ac:dyDescent="0.25">
      <c r="A18">
        <v>16</v>
      </c>
      <c r="B18">
        <v>98667</v>
      </c>
      <c r="C18">
        <f t="shared" si="0"/>
        <v>61</v>
      </c>
      <c r="G18">
        <f t="shared" si="7"/>
        <v>97101.666580637131</v>
      </c>
      <c r="H18">
        <f t="shared" si="1"/>
        <v>91647.543426294797</v>
      </c>
      <c r="I18">
        <f t="shared" si="2"/>
        <v>5459577.2774975076</v>
      </c>
      <c r="J18">
        <f t="shared" si="3"/>
        <v>1.0877324864599236E+97</v>
      </c>
      <c r="K18">
        <f t="shared" si="4"/>
        <v>2.7331689339350524E+19</v>
      </c>
      <c r="L18">
        <f t="shared" si="5"/>
        <v>59.9722741853084</v>
      </c>
      <c r="M18">
        <f t="shared" si="6"/>
        <v>1.3504555583675702E+17</v>
      </c>
    </row>
    <row r="19" spans="1:13" x14ac:dyDescent="0.25">
      <c r="A19">
        <v>17</v>
      </c>
      <c r="B19">
        <v>98606</v>
      </c>
      <c r="C19">
        <f t="shared" si="0"/>
        <v>86</v>
      </c>
      <c r="G19">
        <f t="shared" si="7"/>
        <v>96944.689644533122</v>
      </c>
      <c r="H19">
        <f t="shared" si="1"/>
        <v>91587.571152109493</v>
      </c>
      <c r="I19">
        <f t="shared" si="2"/>
        <v>5362475.6109168688</v>
      </c>
      <c r="J19">
        <f t="shared" si="3"/>
        <v>1.0877324864599236E+97</v>
      </c>
      <c r="K19">
        <f t="shared" si="4"/>
        <v>2.1830003407933217E+20</v>
      </c>
      <c r="L19">
        <f t="shared" si="5"/>
        <v>84.466608472454155</v>
      </c>
      <c r="M19">
        <f t="shared" si="6"/>
        <v>1.5216151457671642E+18</v>
      </c>
    </row>
    <row r="20" spans="1:13" x14ac:dyDescent="0.25">
      <c r="A20">
        <v>18</v>
      </c>
      <c r="B20">
        <v>98520</v>
      </c>
      <c r="C20">
        <f t="shared" si="0"/>
        <v>114</v>
      </c>
      <c r="G20">
        <f t="shared" si="7"/>
        <v>96763.37519425794</v>
      </c>
      <c r="H20">
        <f t="shared" si="1"/>
        <v>91503.104543637033</v>
      </c>
      <c r="I20">
        <f t="shared" si="2"/>
        <v>5265530.9212723365</v>
      </c>
      <c r="J20">
        <f t="shared" si="3"/>
        <v>1.0877324864599236E+97</v>
      </c>
      <c r="K20">
        <f t="shared" si="4"/>
        <v>1.7431340018718723E+21</v>
      </c>
      <c r="L20">
        <f t="shared" si="5"/>
        <v>111.85550921008961</v>
      </c>
      <c r="M20">
        <f t="shared" si="6"/>
        <v>1.6120077747132557E+19</v>
      </c>
    </row>
    <row r="21" spans="1:13" x14ac:dyDescent="0.25">
      <c r="A21">
        <v>19</v>
      </c>
      <c r="B21">
        <v>98406</v>
      </c>
      <c r="C21">
        <f t="shared" si="0"/>
        <v>129</v>
      </c>
      <c r="G21">
        <f t="shared" si="7"/>
        <v>96554.852976562091</v>
      </c>
      <c r="H21">
        <f t="shared" si="1"/>
        <v>91391.249034426946</v>
      </c>
      <c r="I21">
        <f t="shared" si="2"/>
        <v>5168767.5460780784</v>
      </c>
      <c r="J21">
        <f t="shared" si="3"/>
        <v>1.0877324864599236E+97</v>
      </c>
      <c r="K21">
        <f t="shared" si="4"/>
        <v>1.3915020796353741E+22</v>
      </c>
      <c r="L21">
        <f t="shared" si="5"/>
        <v>126.44689247683512</v>
      </c>
      <c r="M21">
        <f t="shared" si="6"/>
        <v>1.4578334152725163E+20</v>
      </c>
    </row>
    <row r="22" spans="1:13" x14ac:dyDescent="0.25">
      <c r="A22">
        <v>20</v>
      </c>
      <c r="B22">
        <v>98277</v>
      </c>
      <c r="C22">
        <f t="shared" si="0"/>
        <v>140</v>
      </c>
      <c r="G22">
        <f t="shared" si="7"/>
        <v>96331.947689503286</v>
      </c>
      <c r="H22">
        <f t="shared" si="1"/>
        <v>91264.802141950102</v>
      </c>
      <c r="I22">
        <f t="shared" si="2"/>
        <v>5072212.693101516</v>
      </c>
      <c r="J22">
        <f t="shared" si="3"/>
        <v>1.0877324864599236E+97</v>
      </c>
      <c r="K22">
        <f t="shared" si="4"/>
        <v>1.1106317407188921E+23</v>
      </c>
      <c r="L22">
        <f t="shared" si="5"/>
        <v>137.09209354023434</v>
      </c>
      <c r="M22">
        <f t="shared" si="6"/>
        <v>1.2644513820328646E+21</v>
      </c>
    </row>
    <row r="23" spans="1:13" x14ac:dyDescent="0.25">
      <c r="A23">
        <v>21</v>
      </c>
      <c r="B23">
        <v>98137</v>
      </c>
      <c r="C23">
        <f t="shared" si="0"/>
        <v>150</v>
      </c>
      <c r="G23">
        <f t="shared" si="7"/>
        <v>96098.61988398555</v>
      </c>
      <c r="H23">
        <f t="shared" si="1"/>
        <v>91127.710048409877</v>
      </c>
      <c r="I23">
        <f t="shared" si="2"/>
        <v>4975880.7454120126</v>
      </c>
      <c r="J23">
        <f t="shared" si="3"/>
        <v>1.0877324864599236E+97</v>
      </c>
      <c r="K23">
        <f t="shared" si="4"/>
        <v>8.8635332341828034E+23</v>
      </c>
      <c r="L23">
        <f t="shared" si="5"/>
        <v>146.7376482876777</v>
      </c>
      <c r="M23">
        <f t="shared" si="6"/>
        <v>1.0827327375763074E+22</v>
      </c>
    </row>
    <row r="24" spans="1:13" x14ac:dyDescent="0.25">
      <c r="A24">
        <v>22</v>
      </c>
      <c r="B24">
        <v>97987</v>
      </c>
      <c r="C24">
        <f t="shared" si="0"/>
        <v>157</v>
      </c>
      <c r="G24">
        <f t="shared" si="7"/>
        <v>95855.87961843118</v>
      </c>
      <c r="H24">
        <f t="shared" si="1"/>
        <v>90980.972400122191</v>
      </c>
      <c r="I24">
        <f t="shared" si="2"/>
        <v>4879782.1255280273</v>
      </c>
      <c r="J24">
        <f t="shared" si="3"/>
        <v>1.0877324864599236E+97</v>
      </c>
      <c r="K24">
        <f t="shared" si="4"/>
        <v>7.0729155171259754E+24</v>
      </c>
      <c r="L24">
        <f t="shared" si="5"/>
        <v>153.43197323453481</v>
      </c>
      <c r="M24">
        <f t="shared" si="6"/>
        <v>9.0570250975414038E+22</v>
      </c>
    </row>
    <row r="25" spans="1:13" x14ac:dyDescent="0.25">
      <c r="A25">
        <v>23</v>
      </c>
      <c r="B25">
        <v>97830</v>
      </c>
      <c r="C25">
        <f t="shared" si="0"/>
        <v>153</v>
      </c>
      <c r="G25">
        <f t="shared" si="7"/>
        <v>95606.687525697722</v>
      </c>
      <c r="H25">
        <f t="shared" si="1"/>
        <v>90827.540426887659</v>
      </c>
      <c r="I25">
        <f t="shared" si="2"/>
        <v>4783926.2459095968</v>
      </c>
      <c r="J25">
        <f t="shared" si="3"/>
        <v>1.0877324864599236E+97</v>
      </c>
      <c r="K25">
        <f t="shared" si="4"/>
        <v>5.6436227088692708E+25</v>
      </c>
      <c r="L25">
        <f t="shared" si="5"/>
        <v>149.37350487018605</v>
      </c>
      <c r="M25">
        <f t="shared" si="6"/>
        <v>7.0539643282772468E+23</v>
      </c>
    </row>
    <row r="26" spans="1:13" x14ac:dyDescent="0.25">
      <c r="A26">
        <v>24</v>
      </c>
      <c r="B26">
        <v>97677</v>
      </c>
      <c r="C26">
        <f t="shared" si="0"/>
        <v>153</v>
      </c>
      <c r="G26">
        <f t="shared" si="7"/>
        <v>95361.802844478196</v>
      </c>
      <c r="H26">
        <f t="shared" si="1"/>
        <v>90678.166922017466</v>
      </c>
      <c r="I26">
        <f t="shared" si="2"/>
        <v>4688319.5583838988</v>
      </c>
      <c r="J26">
        <f t="shared" si="3"/>
        <v>1.0877324864599236E+97</v>
      </c>
      <c r="K26">
        <f t="shared" si="4"/>
        <v>4.5033338149878215E+26</v>
      </c>
      <c r="L26">
        <f t="shared" si="5"/>
        <v>149.22428058959648</v>
      </c>
      <c r="M26">
        <f t="shared" si="6"/>
        <v>5.6375339286931028E+24</v>
      </c>
    </row>
    <row r="27" spans="1:13" x14ac:dyDescent="0.25">
      <c r="A27">
        <v>25</v>
      </c>
      <c r="B27">
        <v>97524</v>
      </c>
      <c r="C27">
        <f t="shared" si="0"/>
        <v>151</v>
      </c>
      <c r="G27">
        <f t="shared" si="7"/>
        <v>95117.312027580425</v>
      </c>
      <c r="H27">
        <f t="shared" si="1"/>
        <v>90528.942641427871</v>
      </c>
      <c r="I27">
        <f t="shared" si="2"/>
        <v>4592957.7555394201</v>
      </c>
      <c r="J27">
        <f t="shared" si="3"/>
        <v>1.0877324864599236E+97</v>
      </c>
      <c r="K27">
        <f t="shared" si="4"/>
        <v>3.5934304500775565E+27</v>
      </c>
      <c r="L27">
        <f t="shared" si="5"/>
        <v>147.12650988899384</v>
      </c>
      <c r="M27">
        <f t="shared" si="6"/>
        <v>4.4466259138647406E+25</v>
      </c>
    </row>
    <row r="28" spans="1:13" x14ac:dyDescent="0.25">
      <c r="A28">
        <v>26</v>
      </c>
      <c r="B28">
        <v>97373</v>
      </c>
      <c r="C28">
        <f t="shared" si="0"/>
        <v>151</v>
      </c>
      <c r="G28">
        <f t="shared" si="7"/>
        <v>94875.163227953628</v>
      </c>
      <c r="H28">
        <f t="shared" si="1"/>
        <v>90381.816131538886</v>
      </c>
      <c r="I28">
        <f t="shared" si="2"/>
        <v>4497840.443511839</v>
      </c>
      <c r="J28">
        <f t="shared" si="3"/>
        <v>1.0877324864599236E+97</v>
      </c>
      <c r="K28">
        <f t="shared" si="4"/>
        <v>2.8674258616606053E+28</v>
      </c>
      <c r="L28">
        <f t="shared" si="5"/>
        <v>146.9795303586352</v>
      </c>
      <c r="M28">
        <f t="shared" si="6"/>
        <v>3.553746984107684E+26</v>
      </c>
    </row>
    <row r="29" spans="1:13" x14ac:dyDescent="0.25">
      <c r="A29">
        <v>27</v>
      </c>
      <c r="B29">
        <v>97222</v>
      </c>
      <c r="C29">
        <f t="shared" si="0"/>
        <v>152</v>
      </c>
      <c r="G29">
        <f t="shared" si="7"/>
        <v>94633.403314749885</v>
      </c>
      <c r="H29">
        <f t="shared" si="1"/>
        <v>90234.836601180243</v>
      </c>
      <c r="I29">
        <f t="shared" si="2"/>
        <v>4402965.2802838841</v>
      </c>
      <c r="J29">
        <f t="shared" si="3"/>
        <v>1.0877324864599236E+97</v>
      </c>
      <c r="K29">
        <f t="shared" si="4"/>
        <v>2.2880952933040876E+29</v>
      </c>
      <c r="L29">
        <f t="shared" si="5"/>
        <v>147.80509963223898</v>
      </c>
      <c r="M29">
        <f t="shared" si="6"/>
        <v>2.8589664194579877E+27</v>
      </c>
    </row>
    <row r="30" spans="1:13" x14ac:dyDescent="0.25">
      <c r="A30">
        <v>28</v>
      </c>
      <c r="B30">
        <v>97070</v>
      </c>
      <c r="C30">
        <f t="shared" si="0"/>
        <v>154</v>
      </c>
      <c r="G30">
        <f t="shared" si="7"/>
        <v>94391.059350667361</v>
      </c>
      <c r="H30">
        <f t="shared" si="1"/>
        <v>90087.031501548001</v>
      </c>
      <c r="I30">
        <f t="shared" si="2"/>
        <v>4308331.8769691344</v>
      </c>
      <c r="J30">
        <f t="shared" si="3"/>
        <v>1.0877324864599236E+97</v>
      </c>
      <c r="K30">
        <f t="shared" si="4"/>
        <v>1.8257886206367556E+30</v>
      </c>
      <c r="L30">
        <f t="shared" si="5"/>
        <v>149.60030327149698</v>
      </c>
      <c r="M30">
        <f t="shared" si="6"/>
        <v>2.3149525663627419E+28</v>
      </c>
    </row>
    <row r="31" spans="1:13" x14ac:dyDescent="0.25">
      <c r="A31">
        <v>29</v>
      </c>
      <c r="B31">
        <v>96916</v>
      </c>
      <c r="C31">
        <f t="shared" si="0"/>
        <v>157</v>
      </c>
      <c r="G31">
        <f t="shared" si="7"/>
        <v>94147.162284807811</v>
      </c>
      <c r="H31">
        <f t="shared" si="1"/>
        <v>89937.431198276507</v>
      </c>
      <c r="I31">
        <f t="shared" si="2"/>
        <v>4213940.8176184669</v>
      </c>
      <c r="J31">
        <f t="shared" si="3"/>
        <v>1.0877324864599236E+97</v>
      </c>
      <c r="K31">
        <f t="shared" si="4"/>
        <v>1.4568567722182565E+31</v>
      </c>
      <c r="L31">
        <f t="shared" si="5"/>
        <v>152.36223266100802</v>
      </c>
      <c r="M31">
        <f t="shared" si="6"/>
        <v>1.8861530828597399E+29</v>
      </c>
    </row>
    <row r="32" spans="1:13" x14ac:dyDescent="0.25">
      <c r="A32">
        <v>30</v>
      </c>
      <c r="B32">
        <v>96759</v>
      </c>
      <c r="C32">
        <f t="shared" si="0"/>
        <v>162</v>
      </c>
      <c r="G32">
        <f t="shared" si="7"/>
        <v>93900.746942971178</v>
      </c>
      <c r="H32">
        <f t="shared" si="1"/>
        <v>89785.068965615501</v>
      </c>
      <c r="I32">
        <f t="shared" si="2"/>
        <v>4119793.6553336573</v>
      </c>
      <c r="J32">
        <f t="shared" si="3"/>
        <v>1.0877324864599236E+97</v>
      </c>
      <c r="K32">
        <f t="shared" si="4"/>
        <v>1.1624349435950672E+32</v>
      </c>
      <c r="L32">
        <f t="shared" si="5"/>
        <v>157.05747558863624</v>
      </c>
      <c r="M32">
        <f t="shared" si="6"/>
        <v>1.5554219000020503E+30</v>
      </c>
    </row>
    <row r="33" spans="1:13" x14ac:dyDescent="0.25">
      <c r="A33">
        <v>31</v>
      </c>
      <c r="B33">
        <v>96597</v>
      </c>
      <c r="C33">
        <f t="shared" si="0"/>
        <v>168</v>
      </c>
      <c r="G33">
        <f t="shared" si="7"/>
        <v>93649.882527379596</v>
      </c>
      <c r="H33">
        <f t="shared" si="1"/>
        <v>89628.011490026867</v>
      </c>
      <c r="I33">
        <f t="shared" si="2"/>
        <v>4025892.9083906859</v>
      </c>
      <c r="J33">
        <f t="shared" si="3"/>
        <v>1.0877324864599236E+97</v>
      </c>
      <c r="K33">
        <f t="shared" si="4"/>
        <v>9.2746351404011138E+32</v>
      </c>
      <c r="L33">
        <f t="shared" si="5"/>
        <v>162.71170742153456</v>
      </c>
      <c r="M33">
        <f t="shared" si="6"/>
        <v>1.2891349598566586E+31</v>
      </c>
    </row>
    <row r="34" spans="1:13" x14ac:dyDescent="0.25">
      <c r="A34">
        <v>32</v>
      </c>
      <c r="B34">
        <v>96429</v>
      </c>
      <c r="C34">
        <f t="shared" si="0"/>
        <v>174</v>
      </c>
      <c r="G34">
        <f t="shared" si="7"/>
        <v>93393.61449375689</v>
      </c>
      <c r="H34">
        <f t="shared" si="1"/>
        <v>89465.299782605332</v>
      </c>
      <c r="I34">
        <f t="shared" si="2"/>
        <v>3932243.0258633061</v>
      </c>
      <c r="J34">
        <f t="shared" si="3"/>
        <v>1.0877324864599236E+97</v>
      </c>
      <c r="K34">
        <f t="shared" si="4"/>
        <v>7.3994044669058169E+33</v>
      </c>
      <c r="L34">
        <f t="shared" si="5"/>
        <v>168.35448534410244</v>
      </c>
      <c r="M34">
        <f t="shared" si="6"/>
        <v>1.0670733219878147E+32</v>
      </c>
    </row>
    <row r="35" spans="1:13" x14ac:dyDescent="0.25">
      <c r="A35">
        <v>33</v>
      </c>
      <c r="B35">
        <v>96255</v>
      </c>
      <c r="C35">
        <f t="shared" si="0"/>
        <v>184</v>
      </c>
      <c r="G35">
        <f t="shared" si="7"/>
        <v>93131.959694233214</v>
      </c>
      <c r="H35">
        <f t="shared" si="1"/>
        <v>89296.94529726122</v>
      </c>
      <c r="I35">
        <f t="shared" si="2"/>
        <v>3838849.4113695496</v>
      </c>
      <c r="J35">
        <f t="shared" si="3"/>
        <v>1.0877324864599236E+97</v>
      </c>
      <c r="K35">
        <f t="shared" si="4"/>
        <v>5.9029392303412124E+34</v>
      </c>
      <c r="L35">
        <f t="shared" si="5"/>
        <v>177.85217830052048</v>
      </c>
      <c r="M35">
        <f t="shared" si="6"/>
        <v>9.0181768229819761E+32</v>
      </c>
    </row>
    <row r="36" spans="1:13" x14ac:dyDescent="0.25">
      <c r="A36">
        <v>34</v>
      </c>
      <c r="B36">
        <v>96071</v>
      </c>
      <c r="C36">
        <f t="shared" si="0"/>
        <v>193</v>
      </c>
      <c r="G36">
        <f t="shared" si="7"/>
        <v>92861.068595159246</v>
      </c>
      <c r="H36">
        <f t="shared" si="1"/>
        <v>89119.093118960707</v>
      </c>
      <c r="I36">
        <f t="shared" si="2"/>
        <v>3745717.4516753163</v>
      </c>
      <c r="J36">
        <f t="shared" si="3"/>
        <v>1.0877324864599236E+97</v>
      </c>
      <c r="K36">
        <f t="shared" si="4"/>
        <v>4.7086155736994645E+35</v>
      </c>
      <c r="L36">
        <f t="shared" si="5"/>
        <v>186.36510452591133</v>
      </c>
      <c r="M36">
        <f t="shared" si="6"/>
        <v>7.5598667716436641E+33</v>
      </c>
    </row>
    <row r="37" spans="1:13" x14ac:dyDescent="0.25">
      <c r="A37">
        <v>35</v>
      </c>
      <c r="B37">
        <v>95878</v>
      </c>
      <c r="C37">
        <f t="shared" si="0"/>
        <v>202</v>
      </c>
      <c r="G37">
        <f t="shared" si="7"/>
        <v>92581.935190338481</v>
      </c>
      <c r="H37">
        <f t="shared" si="1"/>
        <v>88932.72801443479</v>
      </c>
      <c r="I37">
        <f t="shared" si="2"/>
        <v>3652856.383080157</v>
      </c>
      <c r="J37">
        <f t="shared" si="3"/>
        <v>1.0877324864599236E+97</v>
      </c>
      <c r="K37">
        <f t="shared" si="4"/>
        <v>3.7555694628582965E+36</v>
      </c>
      <c r="L37">
        <f t="shared" si="5"/>
        <v>194.86084441068826</v>
      </c>
      <c r="M37">
        <f t="shared" si="6"/>
        <v>6.3235959392815256E+34</v>
      </c>
    </row>
    <row r="38" spans="1:13" x14ac:dyDescent="0.25">
      <c r="A38">
        <v>36</v>
      </c>
      <c r="B38">
        <v>95676</v>
      </c>
      <c r="C38">
        <f t="shared" si="0"/>
        <v>213</v>
      </c>
      <c r="G38">
        <f t="shared" si="7"/>
        <v>92294.584900183225</v>
      </c>
      <c r="H38">
        <f t="shared" si="1"/>
        <v>88737.867170024096</v>
      </c>
      <c r="I38">
        <f t="shared" si="2"/>
        <v>3560274.4478898183</v>
      </c>
      <c r="J38">
        <f t="shared" si="3"/>
        <v>1.0877324864599236E+97</v>
      </c>
      <c r="K38">
        <f t="shared" si="4"/>
        <v>2.9951305202311845E+37</v>
      </c>
      <c r="L38">
        <f t="shared" si="5"/>
        <v>205.26681170055988</v>
      </c>
      <c r="M38">
        <f t="shared" si="6"/>
        <v>5.3290311077712962E+35</v>
      </c>
    </row>
    <row r="39" spans="1:13" x14ac:dyDescent="0.25">
      <c r="A39">
        <v>37</v>
      </c>
      <c r="B39">
        <v>95463</v>
      </c>
      <c r="C39">
        <f t="shared" si="0"/>
        <v>226</v>
      </c>
      <c r="G39">
        <f t="shared" si="7"/>
        <v>91997.115705965014</v>
      </c>
      <c r="H39">
        <f t="shared" si="1"/>
        <v>88532.600358323543</v>
      </c>
      <c r="I39">
        <f t="shared" si="2"/>
        <v>3467979.8629896357</v>
      </c>
      <c r="J39">
        <f t="shared" si="3"/>
        <v>1.0877324864599236E+97</v>
      </c>
      <c r="K39">
        <f t="shared" si="4"/>
        <v>2.3883816743716959E+38</v>
      </c>
      <c r="L39">
        <f t="shared" si="5"/>
        <v>217.57725581613946</v>
      </c>
      <c r="M39">
        <f t="shared" si="6"/>
        <v>4.5189028074510005E+36</v>
      </c>
    </row>
    <row r="40" spans="1:13" x14ac:dyDescent="0.25">
      <c r="A40">
        <v>38</v>
      </c>
      <c r="B40">
        <v>95237</v>
      </c>
      <c r="C40">
        <f t="shared" si="0"/>
        <v>240</v>
      </c>
      <c r="G40">
        <f t="shared" si="7"/>
        <v>91687.633239653427</v>
      </c>
      <c r="H40">
        <f t="shared" si="1"/>
        <v>88315.023102507403</v>
      </c>
      <c r="I40">
        <f t="shared" si="2"/>
        <v>3375982.7472836701</v>
      </c>
      <c r="J40">
        <f t="shared" si="3"/>
        <v>1.0877324864599236E+97</v>
      </c>
      <c r="K40">
        <f t="shared" si="4"/>
        <v>1.9042776401469508E+39</v>
      </c>
      <c r="L40">
        <f t="shared" si="5"/>
        <v>230.82466823386119</v>
      </c>
      <c r="M40">
        <f t="shared" si="6"/>
        <v>3.8352326391776001E+37</v>
      </c>
    </row>
    <row r="41" spans="1:13" x14ac:dyDescent="0.25">
      <c r="A41">
        <v>39</v>
      </c>
      <c r="B41">
        <v>94997</v>
      </c>
      <c r="C41">
        <f t="shared" si="0"/>
        <v>251</v>
      </c>
      <c r="G41">
        <f t="shared" si="7"/>
        <v>91365.21253421712</v>
      </c>
      <c r="H41">
        <f t="shared" si="1"/>
        <v>88084.198434273538</v>
      </c>
      <c r="I41">
        <f t="shared" si="2"/>
        <v>3284295.1140440167</v>
      </c>
      <c r="J41">
        <f t="shared" si="3"/>
        <v>1.0877324864599236E+97</v>
      </c>
      <c r="K41">
        <f t="shared" si="4"/>
        <v>1.5180649792664769E+40</v>
      </c>
      <c r="L41">
        <f t="shared" si="5"/>
        <v>241.16296922535446</v>
      </c>
      <c r="M41">
        <f t="shared" si="6"/>
        <v>3.2056057024095147E+38</v>
      </c>
    </row>
    <row r="42" spans="1:13" x14ac:dyDescent="0.25">
      <c r="A42">
        <v>40</v>
      </c>
      <c r="B42">
        <v>94746</v>
      </c>
      <c r="C42">
        <f t="shared" si="0"/>
        <v>270</v>
      </c>
      <c r="G42">
        <f t="shared" si="7"/>
        <v>91032.775626396149</v>
      </c>
      <c r="H42">
        <f t="shared" si="1"/>
        <v>87843.03546504819</v>
      </c>
      <c r="I42">
        <f t="shared" si="2"/>
        <v>3192929.9015097995</v>
      </c>
      <c r="J42">
        <f t="shared" si="3"/>
        <v>1.0877324864599236E+97</v>
      </c>
      <c r="K42">
        <f t="shared" si="4"/>
        <v>1.2100331389661031E+41</v>
      </c>
      <c r="L42">
        <f t="shared" si="5"/>
        <v>259.1591742554088</v>
      </c>
      <c r="M42">
        <f t="shared" si="6"/>
        <v>2.7558530382782757E+39</v>
      </c>
    </row>
    <row r="43" spans="1:13" x14ac:dyDescent="0.25">
      <c r="A43">
        <v>41</v>
      </c>
      <c r="B43">
        <v>94476</v>
      </c>
      <c r="C43">
        <f t="shared" si="0"/>
        <v>294</v>
      </c>
      <c r="G43">
        <f t="shared" si="7"/>
        <v>90682.674618348145</v>
      </c>
      <c r="H43">
        <f t="shared" si="1"/>
        <v>87583.876290792774</v>
      </c>
      <c r="I43">
        <f t="shared" si="2"/>
        <v>3101897.1258834032</v>
      </c>
      <c r="J43">
        <f t="shared" si="3"/>
        <v>1.0877324864599236E+97</v>
      </c>
      <c r="K43">
        <f t="shared" si="4"/>
        <v>9.6430359868288273E+41</v>
      </c>
      <c r="L43">
        <f t="shared" si="5"/>
        <v>281.9136316686654</v>
      </c>
      <c r="M43">
        <f t="shared" si="6"/>
        <v>2.398255946287232E+40</v>
      </c>
    </row>
    <row r="44" spans="1:13" x14ac:dyDescent="0.25">
      <c r="A44">
        <v>42</v>
      </c>
      <c r="B44">
        <v>94182</v>
      </c>
      <c r="C44">
        <f t="shared" si="0"/>
        <v>314</v>
      </c>
      <c r="G44">
        <f t="shared" si="7"/>
        <v>90310.168904143691</v>
      </c>
      <c r="H44">
        <f t="shared" si="1"/>
        <v>87301.96265912411</v>
      </c>
      <c r="I44">
        <f t="shared" si="2"/>
        <v>3011214.4512650557</v>
      </c>
      <c r="J44">
        <f t="shared" si="3"/>
        <v>1.0877324864599236E+97</v>
      </c>
      <c r="K44">
        <f t="shared" si="4"/>
        <v>7.6827395079327928E+42</v>
      </c>
      <c r="L44">
        <f t="shared" si="5"/>
        <v>300.79063910226148</v>
      </c>
      <c r="M44">
        <f t="shared" si="6"/>
        <v>2.047075012427547E+41</v>
      </c>
    </row>
    <row r="45" spans="1:13" x14ac:dyDescent="0.25">
      <c r="A45">
        <v>43</v>
      </c>
      <c r="B45">
        <v>93868</v>
      </c>
      <c r="C45">
        <f t="shared" si="0"/>
        <v>353</v>
      </c>
      <c r="G45">
        <f t="shared" si="7"/>
        <v>89919.15831608625</v>
      </c>
      <c r="H45">
        <f t="shared" si="1"/>
        <v>87001.172020021855</v>
      </c>
      <c r="I45">
        <f t="shared" si="2"/>
        <v>2920904.2823609118</v>
      </c>
      <c r="J45">
        <f t="shared" si="3"/>
        <v>1.0877324864599236E+97</v>
      </c>
      <c r="K45">
        <f t="shared" si="4"/>
        <v>6.1195808046671645E+43</v>
      </c>
      <c r="L45">
        <f t="shared" si="5"/>
        <v>337.8121738233051</v>
      </c>
      <c r="M45">
        <f t="shared" si="6"/>
        <v>1.8392244173327918E+42</v>
      </c>
    </row>
    <row r="46" spans="1:13" x14ac:dyDescent="0.25">
      <c r="A46">
        <v>44</v>
      </c>
      <c r="B46">
        <v>93515</v>
      </c>
      <c r="C46">
        <f t="shared" si="0"/>
        <v>382</v>
      </c>
      <c r="G46">
        <f t="shared" si="7"/>
        <v>89491.516813275855</v>
      </c>
      <c r="H46">
        <f t="shared" si="1"/>
        <v>86663.359846198553</v>
      </c>
      <c r="I46">
        <f t="shared" si="2"/>
        <v>2830985.1240448253</v>
      </c>
      <c r="J46">
        <f t="shared" si="3"/>
        <v>1.0877324864599236E+97</v>
      </c>
      <c r="K46">
        <f t="shared" si="4"/>
        <v>4.8723816256905391E+44</v>
      </c>
      <c r="L46">
        <f t="shared" si="5"/>
        <v>365.19924947715907</v>
      </c>
      <c r="M46">
        <f t="shared" si="6"/>
        <v>1.5906670721258938E+43</v>
      </c>
    </row>
    <row r="47" spans="1:13" x14ac:dyDescent="0.25">
      <c r="A47">
        <v>45</v>
      </c>
      <c r="B47">
        <v>93133</v>
      </c>
      <c r="C47">
        <f t="shared" si="0"/>
        <v>406</v>
      </c>
      <c r="G47">
        <f t="shared" si="7"/>
        <v>89036.915449100154</v>
      </c>
      <c r="H47">
        <f t="shared" si="1"/>
        <v>86298.160596721384</v>
      </c>
      <c r="I47">
        <f t="shared" si="2"/>
        <v>2741493.6072315495</v>
      </c>
      <c r="J47">
        <f t="shared" si="3"/>
        <v>1.0877324864599236E+97</v>
      </c>
      <c r="K47">
        <f t="shared" si="4"/>
        <v>3.8781046185419077E+45</v>
      </c>
      <c r="L47">
        <f t="shared" si="5"/>
        <v>387.75594899269998</v>
      </c>
      <c r="M47">
        <f t="shared" si="6"/>
        <v>1.3511322840156968E+44</v>
      </c>
    </row>
    <row r="48" spans="1:13" x14ac:dyDescent="0.25">
      <c r="A48">
        <v>46</v>
      </c>
      <c r="B48">
        <v>92727</v>
      </c>
      <c r="C48">
        <f t="shared" si="0"/>
        <v>432</v>
      </c>
      <c r="G48">
        <f t="shared" si="7"/>
        <v>88560.211532625835</v>
      </c>
      <c r="H48">
        <f t="shared" si="1"/>
        <v>85910.404647728676</v>
      </c>
      <c r="I48">
        <f t="shared" si="2"/>
        <v>2652456.6917824498</v>
      </c>
      <c r="J48">
        <f t="shared" si="3"/>
        <v>1.0877324864599236E+97</v>
      </c>
      <c r="K48">
        <f t="shared" si="4"/>
        <v>3.0858729876828454E+46</v>
      </c>
      <c r="L48">
        <f t="shared" si="5"/>
        <v>412.1754353155377</v>
      </c>
      <c r="M48">
        <f t="shared" si="6"/>
        <v>1.1489774200081314E+45</v>
      </c>
    </row>
    <row r="49" spans="1:13" x14ac:dyDescent="0.25">
      <c r="A49">
        <v>47</v>
      </c>
      <c r="B49">
        <v>92295</v>
      </c>
      <c r="C49">
        <f t="shared" si="0"/>
        <v>462</v>
      </c>
      <c r="G49">
        <f t="shared" si="7"/>
        <v>88059.564357517476</v>
      </c>
      <c r="H49">
        <f t="shared" si="1"/>
        <v>85498.229212413135</v>
      </c>
      <c r="I49">
        <f t="shared" si="2"/>
        <v>2563896.4802498235</v>
      </c>
      <c r="J49">
        <f t="shared" si="3"/>
        <v>1.0877324864599236E+97</v>
      </c>
      <c r="K49">
        <f t="shared" si="4"/>
        <v>2.4547423837882059E+47</v>
      </c>
      <c r="L49">
        <f t="shared" si="5"/>
        <v>440.35837106360867</v>
      </c>
      <c r="M49">
        <f t="shared" si="6"/>
        <v>9.8203198291293246E+45</v>
      </c>
    </row>
    <row r="50" spans="1:13" x14ac:dyDescent="0.25">
      <c r="A50">
        <v>48</v>
      </c>
      <c r="B50">
        <v>91833</v>
      </c>
      <c r="C50">
        <f t="shared" si="0"/>
        <v>501</v>
      </c>
      <c r="G50">
        <f t="shared" si="7"/>
        <v>87531.234393689127</v>
      </c>
      <c r="H50">
        <f t="shared" si="1"/>
        <v>85057.870841349533</v>
      </c>
      <c r="I50">
        <f t="shared" si="2"/>
        <v>2475836.9158923062</v>
      </c>
      <c r="J50">
        <f t="shared" si="3"/>
        <v>1.0877324864599236E+97</v>
      </c>
      <c r="K50">
        <f t="shared" si="4"/>
        <v>1.9520117551264791E+48</v>
      </c>
      <c r="L50">
        <f t="shared" si="5"/>
        <v>477.05442588335478</v>
      </c>
      <c r="M50">
        <f t="shared" si="6"/>
        <v>8.5109353579646171E+46</v>
      </c>
    </row>
    <row r="51" spans="1:13" x14ac:dyDescent="0.25">
      <c r="A51">
        <v>49</v>
      </c>
      <c r="B51">
        <v>91332</v>
      </c>
      <c r="C51">
        <f t="shared" si="0"/>
        <v>554</v>
      </c>
      <c r="G51">
        <f t="shared" si="7"/>
        <v>86966.736177202707</v>
      </c>
      <c r="H51">
        <f t="shared" si="1"/>
        <v>84580.816415466179</v>
      </c>
      <c r="I51">
        <f t="shared" si="2"/>
        <v>2388305.6814986174</v>
      </c>
      <c r="J51">
        <f t="shared" si="3"/>
        <v>1.0877324864599236E+97</v>
      </c>
      <c r="K51">
        <f t="shared" si="4"/>
        <v>1.5515384193884719E+49</v>
      </c>
      <c r="L51">
        <f t="shared" si="5"/>
        <v>526.99426708895601</v>
      </c>
      <c r="M51">
        <f t="shared" si="6"/>
        <v>7.5215135177196396E+47</v>
      </c>
    </row>
    <row r="52" spans="1:13" x14ac:dyDescent="0.25">
      <c r="A52">
        <v>50</v>
      </c>
      <c r="B52">
        <v>90778</v>
      </c>
      <c r="C52">
        <f t="shared" si="0"/>
        <v>607</v>
      </c>
      <c r="G52">
        <f t="shared" si="7"/>
        <v>86352.862053792865</v>
      </c>
      <c r="H52">
        <f t="shared" si="1"/>
        <v>84053.822148377221</v>
      </c>
      <c r="I52">
        <f t="shared" si="2"/>
        <v>2301338.9453214151</v>
      </c>
      <c r="J52">
        <f t="shared" si="3"/>
        <v>1.0877324864599236E+97</v>
      </c>
      <c r="K52">
        <f t="shared" si="4"/>
        <v>1.2324692312482914E+50</v>
      </c>
      <c r="L52">
        <f t="shared" si="5"/>
        <v>576.83385229030239</v>
      </c>
      <c r="M52">
        <f t="shared" si="6"/>
        <v>6.5862782780480459E+48</v>
      </c>
    </row>
    <row r="53" spans="1:13" x14ac:dyDescent="0.25">
      <c r="A53">
        <v>51</v>
      </c>
      <c r="B53">
        <v>90171</v>
      </c>
      <c r="C53">
        <f t="shared" si="0"/>
        <v>660</v>
      </c>
      <c r="G53">
        <f t="shared" si="7"/>
        <v>85689.761606044252</v>
      </c>
      <c r="H53">
        <f t="shared" si="1"/>
        <v>83476.988296086914</v>
      </c>
      <c r="I53">
        <f t="shared" si="2"/>
        <v>2214986.0832676222</v>
      </c>
      <c r="J53">
        <f t="shared" si="3"/>
        <v>1.0877324864599236E+97</v>
      </c>
      <c r="K53">
        <f t="shared" si="4"/>
        <v>9.7840411632598082E+50</v>
      </c>
      <c r="L53">
        <f t="shared" si="5"/>
        <v>626.57333195897957</v>
      </c>
      <c r="M53">
        <f t="shared" si="6"/>
        <v>5.723362191036916E+49</v>
      </c>
    </row>
    <row r="54" spans="1:13" x14ac:dyDescent="0.25">
      <c r="A54">
        <v>52</v>
      </c>
      <c r="B54">
        <v>89511</v>
      </c>
      <c r="C54">
        <f t="shared" si="0"/>
        <v>720</v>
      </c>
      <c r="G54">
        <f t="shared" si="7"/>
        <v>84977.584116636688</v>
      </c>
      <c r="H54">
        <f t="shared" si="1"/>
        <v>82850.414964127936</v>
      </c>
      <c r="I54">
        <f t="shared" si="2"/>
        <v>2129296.321661578</v>
      </c>
      <c r="J54">
        <f t="shared" si="3"/>
        <v>1.0877324864599236E+97</v>
      </c>
      <c r="K54">
        <f t="shared" si="4"/>
        <v>7.7621798951803848E+51</v>
      </c>
      <c r="L54">
        <f t="shared" si="5"/>
        <v>682.8516922629874</v>
      </c>
      <c r="M54">
        <f t="shared" si="6"/>
        <v>4.9899443314825517E+50</v>
      </c>
    </row>
    <row r="55" spans="1:13" x14ac:dyDescent="0.25">
      <c r="A55">
        <v>53</v>
      </c>
      <c r="B55">
        <v>88791</v>
      </c>
      <c r="C55">
        <f t="shared" si="0"/>
        <v>780</v>
      </c>
      <c r="G55">
        <f t="shared" si="7"/>
        <v>84209.839732948501</v>
      </c>
      <c r="H55">
        <f t="shared" si="1"/>
        <v>82167.563271864943</v>
      </c>
      <c r="I55">
        <f t="shared" si="2"/>
        <v>2044318.7375449419</v>
      </c>
      <c r="J55">
        <f t="shared" si="3"/>
        <v>1.0877324864599236E+97</v>
      </c>
      <c r="K55">
        <f t="shared" si="4"/>
        <v>6.1536409324537112E+52</v>
      </c>
      <c r="L55">
        <f t="shared" si="5"/>
        <v>739.01698296860127</v>
      </c>
      <c r="M55">
        <f t="shared" si="6"/>
        <v>4.320298122495714E+51</v>
      </c>
    </row>
    <row r="56" spans="1:13" x14ac:dyDescent="0.25">
      <c r="A56">
        <v>54</v>
      </c>
      <c r="B56">
        <v>88011</v>
      </c>
      <c r="C56">
        <f t="shared" si="0"/>
        <v>846</v>
      </c>
      <c r="G56">
        <f t="shared" si="7"/>
        <v>83386.697035960984</v>
      </c>
      <c r="H56">
        <f t="shared" si="1"/>
        <v>81428.546288896338</v>
      </c>
      <c r="I56">
        <f t="shared" si="2"/>
        <v>1960108.8978119933</v>
      </c>
      <c r="J56">
        <f t="shared" si="3"/>
        <v>1.0877324864599236E+97</v>
      </c>
      <c r="K56">
        <f t="shared" si="4"/>
        <v>4.8747917699867989E+53</v>
      </c>
      <c r="L56">
        <f t="shared" si="5"/>
        <v>800.74844077901173</v>
      </c>
      <c r="M56">
        <f t="shared" si="6"/>
        <v>3.7449445033237257E+52</v>
      </c>
    </row>
    <row r="57" spans="1:13" x14ac:dyDescent="0.25">
      <c r="A57">
        <v>55</v>
      </c>
      <c r="B57">
        <v>87165</v>
      </c>
      <c r="C57">
        <f t="shared" si="0"/>
        <v>924</v>
      </c>
      <c r="G57">
        <f t="shared" si="7"/>
        <v>82502.645201539664</v>
      </c>
      <c r="H57">
        <f t="shared" si="1"/>
        <v>80627.797848117334</v>
      </c>
      <c r="I57">
        <f t="shared" si="2"/>
        <v>1876722.2007760322</v>
      </c>
      <c r="J57">
        <f t="shared" si="3"/>
        <v>1.0877324864599236E+97</v>
      </c>
      <c r="K57">
        <f t="shared" si="4"/>
        <v>3.8584880334776897E+54</v>
      </c>
      <c r="L57">
        <f t="shared" si="5"/>
        <v>873.70260859684868</v>
      </c>
      <c r="M57">
        <f t="shared" si="6"/>
        <v>3.2689095500916304E+53</v>
      </c>
    </row>
    <row r="58" spans="1:13" x14ac:dyDescent="0.25">
      <c r="A58">
        <v>56</v>
      </c>
      <c r="B58">
        <v>86241</v>
      </c>
      <c r="C58">
        <f t="shared" si="0"/>
        <v>985</v>
      </c>
      <c r="G58">
        <f t="shared" si="7"/>
        <v>81546.522367966259</v>
      </c>
      <c r="H58">
        <f t="shared" si="1"/>
        <v>79754.095239520495</v>
      </c>
      <c r="I58">
        <f t="shared" si="2"/>
        <v>1794219.5555744923</v>
      </c>
      <c r="J58">
        <f t="shared" si="3"/>
        <v>1.0877324864599236E+97</v>
      </c>
      <c r="K58">
        <f t="shared" si="4"/>
        <v>3.0510176245611722E+55</v>
      </c>
      <c r="L58">
        <f t="shared" si="5"/>
        <v>930.45165815558471</v>
      </c>
      <c r="M58">
        <f t="shared" si="6"/>
        <v>2.7849863615520885E+54</v>
      </c>
    </row>
    <row r="59" spans="1:13" x14ac:dyDescent="0.25">
      <c r="A59">
        <v>57</v>
      </c>
      <c r="B59">
        <v>85256</v>
      </c>
      <c r="C59">
        <f t="shared" si="0"/>
        <v>1045</v>
      </c>
      <c r="G59">
        <f t="shared" si="7"/>
        <v>80534.605652500031</v>
      </c>
      <c r="H59">
        <f t="shared" si="1"/>
        <v>78823.6435813649</v>
      </c>
      <c r="I59">
        <f t="shared" si="2"/>
        <v>1712673.0332065262</v>
      </c>
      <c r="J59">
        <f t="shared" si="3"/>
        <v>1.0877324864599236E+97</v>
      </c>
      <c r="K59">
        <f t="shared" si="4"/>
        <v>2.410525860309491E+56</v>
      </c>
      <c r="L59">
        <f t="shared" si="5"/>
        <v>986.14277374664562</v>
      </c>
      <c r="M59">
        <f t="shared" si="6"/>
        <v>2.3613428178497091E+55</v>
      </c>
    </row>
    <row r="60" spans="1:13" x14ac:dyDescent="0.25">
      <c r="A60">
        <v>58</v>
      </c>
      <c r="B60">
        <v>84211</v>
      </c>
      <c r="C60">
        <f t="shared" si="0"/>
        <v>1128</v>
      </c>
      <c r="G60">
        <f t="shared" si="7"/>
        <v>79468.008727252411</v>
      </c>
      <c r="H60">
        <f t="shared" si="1"/>
        <v>77837.500807618257</v>
      </c>
      <c r="I60">
        <f t="shared" si="2"/>
        <v>1632138.427554026</v>
      </c>
      <c r="J60">
        <f t="shared" si="3"/>
        <v>1.0877324864599236E+97</v>
      </c>
      <c r="K60">
        <f t="shared" si="4"/>
        <v>1.9028807658750417E+57</v>
      </c>
      <c r="L60">
        <f t="shared" si="5"/>
        <v>1063.4045846844219</v>
      </c>
      <c r="M60">
        <f t="shared" si="6"/>
        <v>2.0370784802064699E+56</v>
      </c>
    </row>
    <row r="61" spans="1:13" x14ac:dyDescent="0.25">
      <c r="A61">
        <v>59</v>
      </c>
      <c r="B61">
        <v>83083</v>
      </c>
      <c r="C61">
        <f t="shared" si="0"/>
        <v>1199</v>
      </c>
      <c r="G61">
        <f t="shared" si="7"/>
        <v>78325.215522460843</v>
      </c>
      <c r="H61">
        <f t="shared" si="1"/>
        <v>76774.096222933833</v>
      </c>
      <c r="I61">
        <f t="shared" si="2"/>
        <v>1552670.418826774</v>
      </c>
      <c r="J61">
        <f t="shared" si="3"/>
        <v>1.0877324864599236E+97</v>
      </c>
      <c r="K61">
        <f t="shared" si="4"/>
        <v>1.5004130440690969E+58</v>
      </c>
      <c r="L61">
        <f t="shared" si="5"/>
        <v>1129.209528978665</v>
      </c>
      <c r="M61">
        <f t="shared" si="6"/>
        <v>1.7305085678630285E+57</v>
      </c>
    </row>
    <row r="62" spans="1:13" x14ac:dyDescent="0.25">
      <c r="A62">
        <v>60</v>
      </c>
      <c r="B62">
        <v>81884</v>
      </c>
      <c r="C62">
        <f t="shared" si="0"/>
        <v>1282</v>
      </c>
      <c r="G62">
        <f t="shared" si="7"/>
        <v>77117.75902492828</v>
      </c>
      <c r="H62">
        <f t="shared" si="1"/>
        <v>75644.886693955166</v>
      </c>
      <c r="I62">
        <f t="shared" si="2"/>
        <v>1474345.2033043129</v>
      </c>
      <c r="J62">
        <f t="shared" si="3"/>
        <v>1.0877324864599236E+97</v>
      </c>
      <c r="K62">
        <f t="shared" si="4"/>
        <v>1.1818262182726958E+59</v>
      </c>
      <c r="L62">
        <f t="shared" si="5"/>
        <v>1206.1721565762421</v>
      </c>
      <c r="M62">
        <f t="shared" si="6"/>
        <v>1.4787627611757062E+58</v>
      </c>
    </row>
    <row r="63" spans="1:13" x14ac:dyDescent="0.25">
      <c r="A63">
        <v>61</v>
      </c>
      <c r="B63">
        <v>80602</v>
      </c>
      <c r="C63">
        <f t="shared" si="0"/>
        <v>1359</v>
      </c>
      <c r="G63">
        <f t="shared" si="7"/>
        <v>75834.546150045455</v>
      </c>
      <c r="H63">
        <f t="shared" si="1"/>
        <v>74438.714537378924</v>
      </c>
      <c r="I63">
        <f t="shared" si="2"/>
        <v>1397227.4442793846</v>
      </c>
      <c r="J63">
        <f t="shared" si="3"/>
        <v>1.0877324864599236E+97</v>
      </c>
      <c r="K63">
        <f t="shared" si="4"/>
        <v>9.2972883054823926E+59</v>
      </c>
      <c r="L63">
        <f t="shared" si="5"/>
        <v>1277.3404137104028</v>
      </c>
      <c r="M63">
        <f t="shared" si="6"/>
        <v>1.2528118324345135E+59</v>
      </c>
    </row>
    <row r="64" spans="1:13" x14ac:dyDescent="0.25">
      <c r="A64">
        <v>62</v>
      </c>
      <c r="B64">
        <v>79243</v>
      </c>
      <c r="C64">
        <f t="shared" si="0"/>
        <v>1436</v>
      </c>
      <c r="G64">
        <f t="shared" si="7"/>
        <v>74481.446948972371</v>
      </c>
      <c r="H64">
        <f t="shared" si="1"/>
        <v>73161.374123668531</v>
      </c>
      <c r="I64">
        <f t="shared" si="2"/>
        <v>1321392.8981293393</v>
      </c>
      <c r="J64">
        <f t="shared" si="3"/>
        <v>1.0877324864599236E+97</v>
      </c>
      <c r="K64">
        <f t="shared" si="4"/>
        <v>7.3051190608983188E+60</v>
      </c>
      <c r="L64">
        <f t="shared" si="5"/>
        <v>1348.3652727611893</v>
      </c>
      <c r="M64">
        <f t="shared" si="6"/>
        <v>1.0579782491980194E+60</v>
      </c>
    </row>
    <row r="65" spans="1:13" x14ac:dyDescent="0.25">
      <c r="A65">
        <v>63</v>
      </c>
      <c r="B65">
        <v>77807</v>
      </c>
      <c r="C65">
        <f t="shared" si="0"/>
        <v>1512</v>
      </c>
      <c r="G65">
        <f t="shared" si="7"/>
        <v>73058.674636302123</v>
      </c>
      <c r="H65">
        <f t="shared" si="1"/>
        <v>71813.008850907339</v>
      </c>
      <c r="I65">
        <f t="shared" si="2"/>
        <v>1246911.4511803668</v>
      </c>
      <c r="J65">
        <f t="shared" si="3"/>
        <v>1.0877324864599236E+97</v>
      </c>
      <c r="K65">
        <f t="shared" si="4"/>
        <v>5.7324591668071245E+61</v>
      </c>
      <c r="L65">
        <f t="shared" si="5"/>
        <v>1418.3089142159499</v>
      </c>
      <c r="M65">
        <f t="shared" si="6"/>
        <v>8.9028693467390813E+60</v>
      </c>
    </row>
    <row r="66" spans="1:13" x14ac:dyDescent="0.25">
      <c r="A66">
        <v>64</v>
      </c>
      <c r="B66">
        <v>76295</v>
      </c>
      <c r="C66">
        <f t="shared" si="0"/>
        <v>1575</v>
      </c>
      <c r="G66">
        <f t="shared" si="7"/>
        <v>71567.380033138819</v>
      </c>
      <c r="H66">
        <f t="shared" si="1"/>
        <v>70394.699936691381</v>
      </c>
      <c r="I66">
        <f t="shared" si="2"/>
        <v>1173852.7765440645</v>
      </c>
      <c r="J66">
        <f t="shared" si="3"/>
        <v>1.0877324864599236E+97</v>
      </c>
      <c r="K66">
        <f t="shared" si="4"/>
        <v>4.492357254030808E+62</v>
      </c>
      <c r="L66">
        <f t="shared" si="5"/>
        <v>1475.9291897851631</v>
      </c>
      <c r="M66">
        <f t="shared" si="6"/>
        <v>7.4116461428064259E+61</v>
      </c>
    </row>
    <row r="67" spans="1:13" x14ac:dyDescent="0.25">
      <c r="A67">
        <v>65</v>
      </c>
      <c r="B67">
        <v>74720</v>
      </c>
      <c r="C67">
        <f t="shared" ref="C67:C109" si="8">B67-B68</f>
        <v>1645</v>
      </c>
      <c r="G67">
        <f t="shared" si="7"/>
        <v>70019.954959204682</v>
      </c>
      <c r="H67">
        <f t="shared" ref="H67:H109" si="9">SUM(L67:L174)</f>
        <v>68918.77074690623</v>
      </c>
      <c r="I67">
        <f t="shared" ref="I67:I109" si="10">SUM(G67:G174)</f>
        <v>1102285.3965109256</v>
      </c>
      <c r="J67">
        <f t="shared" ref="J67:J109" si="11">SUM(M67:M174)</f>
        <v>1.0877324864599236E+97</v>
      </c>
      <c r="K67">
        <f t="shared" ref="K67:K108" si="12">(E$9^A67)*B67</f>
        <v>3.5161790462888644E+63</v>
      </c>
      <c r="L67">
        <f t="shared" ref="L67:L109" si="13">(E$8^(1+A67))*C67</f>
        <v>1539.9860566078958</v>
      </c>
      <c r="M67">
        <f t="shared" ref="M67:M109" si="14">(E$9^(1+A67))*C67</f>
        <v>6.1866554549788332E+62</v>
      </c>
    </row>
    <row r="68" spans="1:13" x14ac:dyDescent="0.25">
      <c r="A68">
        <v>66</v>
      </c>
      <c r="B68">
        <v>73075</v>
      </c>
      <c r="C68">
        <f t="shared" si="8"/>
        <v>1709</v>
      </c>
      <c r="G68">
        <f t="shared" si="7"/>
        <v>68410.018897642542</v>
      </c>
      <c r="H68">
        <f t="shared" si="9"/>
        <v>67378.784690298329</v>
      </c>
      <c r="I68">
        <f t="shared" si="10"/>
        <v>1032265.4415517212</v>
      </c>
      <c r="J68">
        <f t="shared" si="11"/>
        <v>1.0877324864599236E+97</v>
      </c>
      <c r="K68">
        <f t="shared" si="12"/>
        <v>2.7482665493773749E+64</v>
      </c>
      <c r="L68">
        <f t="shared" si="13"/>
        <v>1598.3021056407997</v>
      </c>
      <c r="M68">
        <f t="shared" si="14"/>
        <v>5.1367449195467499E+63</v>
      </c>
    </row>
    <row r="69" spans="1:13" x14ac:dyDescent="0.25">
      <c r="A69">
        <v>67</v>
      </c>
      <c r="B69">
        <v>71366</v>
      </c>
      <c r="C69">
        <f t="shared" si="8"/>
        <v>1807</v>
      </c>
      <c r="G69">
        <f t="shared" ref="G69:G109" si="15">(E$8^A69)*B69</f>
        <v>66743.375114781345</v>
      </c>
      <c r="H69">
        <f t="shared" si="9"/>
        <v>65780.482584657511</v>
      </c>
      <c r="I69">
        <f t="shared" si="10"/>
        <v>963855.42265407881</v>
      </c>
      <c r="J69">
        <f t="shared" si="11"/>
        <v>1.0877324864599236E+97</v>
      </c>
      <c r="K69">
        <f t="shared" si="12"/>
        <v>2.1450493734837529E+65</v>
      </c>
      <c r="L69">
        <f t="shared" si="13"/>
        <v>1688.2660375861267</v>
      </c>
      <c r="M69">
        <f t="shared" si="14"/>
        <v>4.3407022794039079E+64</v>
      </c>
    </row>
    <row r="70" spans="1:13" x14ac:dyDescent="0.25">
      <c r="A70">
        <v>68</v>
      </c>
      <c r="B70">
        <v>69559</v>
      </c>
      <c r="C70">
        <f t="shared" si="8"/>
        <v>1904</v>
      </c>
      <c r="G70">
        <f t="shared" si="15"/>
        <v>64988.432378778853</v>
      </c>
      <c r="H70">
        <f t="shared" si="9"/>
        <v>64092.216547071395</v>
      </c>
      <c r="I70">
        <f t="shared" si="10"/>
        <v>897112.04753929749</v>
      </c>
      <c r="J70">
        <f t="shared" si="11"/>
        <v>1.0877324864599236E+97</v>
      </c>
      <c r="K70">
        <f t="shared" si="12"/>
        <v>1.6709181508193492E+66</v>
      </c>
      <c r="L70">
        <f t="shared" si="13"/>
        <v>1777.1152674464361</v>
      </c>
      <c r="M70">
        <f t="shared" si="14"/>
        <v>3.6553140893351419E+65</v>
      </c>
    </row>
    <row r="71" spans="1:13" x14ac:dyDescent="0.25">
      <c r="A71">
        <v>69</v>
      </c>
      <c r="B71">
        <v>67655</v>
      </c>
      <c r="C71">
        <f t="shared" si="8"/>
        <v>2006</v>
      </c>
      <c r="G71">
        <f t="shared" si="15"/>
        <v>63146.393602462515</v>
      </c>
      <c r="H71">
        <f t="shared" si="9"/>
        <v>62315.101279624956</v>
      </c>
      <c r="I71">
        <f t="shared" si="10"/>
        <v>832123.61516051879</v>
      </c>
      <c r="J71">
        <f t="shared" si="11"/>
        <v>1.0877324864599236E+97</v>
      </c>
      <c r="K71">
        <f t="shared" si="12"/>
        <v>1.2988459806405937E+67</v>
      </c>
      <c r="L71">
        <f t="shared" si="13"/>
        <v>1870.4474236360024</v>
      </c>
      <c r="M71">
        <f t="shared" si="14"/>
        <v>3.0778297598226533E+66</v>
      </c>
    </row>
    <row r="72" spans="1:13" x14ac:dyDescent="0.25">
      <c r="A72">
        <v>70</v>
      </c>
      <c r="B72">
        <v>65649</v>
      </c>
      <c r="C72">
        <f t="shared" si="8"/>
        <v>2106</v>
      </c>
      <c r="G72">
        <f t="shared" si="15"/>
        <v>61212.862868534357</v>
      </c>
      <c r="H72">
        <f t="shared" si="9"/>
        <v>60444.653855988945</v>
      </c>
      <c r="I72">
        <f t="shared" si="10"/>
        <v>768977.22155805607</v>
      </c>
      <c r="J72">
        <f t="shared" si="11"/>
        <v>1.0877324864599236E+97</v>
      </c>
      <c r="K72">
        <f t="shared" si="12"/>
        <v>1.0072604481684815E+68</v>
      </c>
      <c r="L72">
        <f t="shared" si="13"/>
        <v>1961.7283385494973</v>
      </c>
      <c r="M72">
        <f t="shared" si="14"/>
        <v>2.5824263370474015E+67</v>
      </c>
    </row>
    <row r="73" spans="1:13" x14ac:dyDescent="0.25">
      <c r="A73">
        <v>71</v>
      </c>
      <c r="B73">
        <v>63543</v>
      </c>
      <c r="C73">
        <f t="shared" si="8"/>
        <v>2258</v>
      </c>
      <c r="G73">
        <f t="shared" si="15"/>
        <v>59189.982818827491</v>
      </c>
      <c r="H73">
        <f t="shared" si="9"/>
        <v>58482.925517439449</v>
      </c>
      <c r="I73">
        <f t="shared" si="10"/>
        <v>707764.35868952167</v>
      </c>
      <c r="J73">
        <f t="shared" si="11"/>
        <v>1.0877324864599236E+97</v>
      </c>
      <c r="K73">
        <f t="shared" si="12"/>
        <v>7.7917909180913118E+68</v>
      </c>
      <c r="L73">
        <f t="shared" si="13"/>
        <v>2101.2143547073842</v>
      </c>
      <c r="M73">
        <f t="shared" si="14"/>
        <v>2.2128369898109604E+68</v>
      </c>
    </row>
    <row r="74" spans="1:13" x14ac:dyDescent="0.25">
      <c r="A74">
        <v>72</v>
      </c>
      <c r="B74">
        <v>61285</v>
      </c>
      <c r="C74">
        <f t="shared" si="8"/>
        <v>2374</v>
      </c>
      <c r="G74">
        <f t="shared" si="15"/>
        <v>57029.637612153252</v>
      </c>
      <c r="H74">
        <f t="shared" si="9"/>
        <v>56381.71116273207</v>
      </c>
      <c r="I74">
        <f t="shared" si="10"/>
        <v>648574.37587069441</v>
      </c>
      <c r="J74">
        <f t="shared" si="11"/>
        <v>1.0877324864599236E+97</v>
      </c>
      <c r="K74">
        <f t="shared" si="12"/>
        <v>6.0059218299630079E+69</v>
      </c>
      <c r="L74">
        <f t="shared" si="13"/>
        <v>2206.9528691305732</v>
      </c>
      <c r="M74">
        <f t="shared" si="14"/>
        <v>1.859354114021043E+69</v>
      </c>
    </row>
    <row r="75" spans="1:13" x14ac:dyDescent="0.25">
      <c r="A75">
        <v>73</v>
      </c>
      <c r="B75">
        <v>58911</v>
      </c>
      <c r="C75">
        <f t="shared" si="8"/>
        <v>2495</v>
      </c>
      <c r="G75">
        <f t="shared" si="15"/>
        <v>54765.712078075478</v>
      </c>
      <c r="H75">
        <f t="shared" si="9"/>
        <v>54174.758293601495</v>
      </c>
      <c r="I75">
        <f t="shared" si="10"/>
        <v>591544.73825854121</v>
      </c>
      <c r="J75">
        <f t="shared" si="11"/>
        <v>1.0877324864599236E+97</v>
      </c>
      <c r="K75">
        <f t="shared" si="12"/>
        <v>4.6140021150418558E+70</v>
      </c>
      <c r="L75">
        <f t="shared" si="13"/>
        <v>2317.1215509346512</v>
      </c>
      <c r="M75">
        <f t="shared" si="14"/>
        <v>1.5617368358625372E+70</v>
      </c>
    </row>
    <row r="76" spans="1:13" x14ac:dyDescent="0.25">
      <c r="A76">
        <v>74</v>
      </c>
      <c r="B76">
        <v>56416</v>
      </c>
      <c r="C76">
        <f t="shared" si="8"/>
        <v>2598</v>
      </c>
      <c r="G76">
        <f t="shared" si="15"/>
        <v>52393.879526063844</v>
      </c>
      <c r="H76">
        <f t="shared" si="9"/>
        <v>51857.636742666858</v>
      </c>
      <c r="I76">
        <f t="shared" si="10"/>
        <v>536779.02618046571</v>
      </c>
      <c r="J76">
        <f t="shared" si="11"/>
        <v>1.0877324864599236E+97</v>
      </c>
      <c r="K76">
        <f t="shared" si="12"/>
        <v>3.5313404942693745E+71</v>
      </c>
      <c r="L76">
        <f t="shared" si="13"/>
        <v>2410.3679043714701</v>
      </c>
      <c r="M76">
        <f t="shared" si="14"/>
        <v>1.2996678030012856E+71</v>
      </c>
    </row>
    <row r="77" spans="1:13" x14ac:dyDescent="0.25">
      <c r="A77">
        <v>75</v>
      </c>
      <c r="B77">
        <v>53818</v>
      </c>
      <c r="C77">
        <f t="shared" si="8"/>
        <v>2732</v>
      </c>
      <c r="G77">
        <f t="shared" si="15"/>
        <v>49931.170083704303</v>
      </c>
      <c r="H77">
        <f t="shared" si="9"/>
        <v>49447.268838295378</v>
      </c>
      <c r="I77">
        <f t="shared" si="10"/>
        <v>484385.14665440173</v>
      </c>
      <c r="J77">
        <f t="shared" si="11"/>
        <v>1.0877324864599236E+97</v>
      </c>
      <c r="K77">
        <f t="shared" si="12"/>
        <v>2.6922833649700997E+72</v>
      </c>
      <c r="L77">
        <f t="shared" si="13"/>
        <v>2532.1580323998005</v>
      </c>
      <c r="M77">
        <f t="shared" si="14"/>
        <v>1.0922695281006943E+72</v>
      </c>
    </row>
    <row r="78" spans="1:13" x14ac:dyDescent="0.25">
      <c r="A78">
        <v>76</v>
      </c>
      <c r="B78">
        <v>51086</v>
      </c>
      <c r="C78">
        <f t="shared" si="8"/>
        <v>2835</v>
      </c>
      <c r="G78">
        <f t="shared" si="15"/>
        <v>47349.130762509594</v>
      </c>
      <c r="H78">
        <f t="shared" si="9"/>
        <v>46915.110805895587</v>
      </c>
      <c r="I78">
        <f t="shared" si="10"/>
        <v>434453.97657069744</v>
      </c>
      <c r="J78">
        <f t="shared" si="11"/>
        <v>1.0877324864599236E+97</v>
      </c>
      <c r="K78">
        <f t="shared" si="12"/>
        <v>2.0424480641490509E+73</v>
      </c>
      <c r="L78">
        <f t="shared" si="13"/>
        <v>2624.9987281581657</v>
      </c>
      <c r="M78">
        <f t="shared" si="14"/>
        <v>9.0585376911974343E+72</v>
      </c>
    </row>
    <row r="79" spans="1:13" x14ac:dyDescent="0.25">
      <c r="A79">
        <v>77</v>
      </c>
      <c r="B79">
        <v>48251</v>
      </c>
      <c r="C79">
        <f t="shared" si="8"/>
        <v>2967</v>
      </c>
      <c r="G79">
        <f t="shared" si="15"/>
        <v>44676.830205417864</v>
      </c>
      <c r="H79">
        <f t="shared" si="9"/>
        <v>44290.112077737416</v>
      </c>
      <c r="I79">
        <f t="shared" si="10"/>
        <v>387104.84580818785</v>
      </c>
      <c r="J79">
        <f t="shared" si="11"/>
        <v>1.0877324864599236E+97</v>
      </c>
      <c r="K79">
        <f t="shared" si="12"/>
        <v>1.541740748282072E+74</v>
      </c>
      <c r="L79">
        <f t="shared" si="13"/>
        <v>2744.476414747608</v>
      </c>
      <c r="M79">
        <f t="shared" si="14"/>
        <v>7.576672027734601E+73</v>
      </c>
    </row>
    <row r="80" spans="1:13" x14ac:dyDescent="0.25">
      <c r="A80">
        <v>78</v>
      </c>
      <c r="B80">
        <v>45284</v>
      </c>
      <c r="C80">
        <f t="shared" si="8"/>
        <v>3081</v>
      </c>
      <c r="G80">
        <f t="shared" si="15"/>
        <v>41887.721592662856</v>
      </c>
      <c r="H80">
        <f t="shared" si="9"/>
        <v>41545.635662989807</v>
      </c>
      <c r="I80">
        <f t="shared" si="10"/>
        <v>342428.01560276997</v>
      </c>
      <c r="J80">
        <f t="shared" si="11"/>
        <v>1.0877324864599236E+97</v>
      </c>
      <c r="K80">
        <f t="shared" si="12"/>
        <v>1.1563937179101236E+75</v>
      </c>
      <c r="L80">
        <f t="shared" si="13"/>
        <v>2847.0793897162434</v>
      </c>
      <c r="M80">
        <f t="shared" si="14"/>
        <v>6.2879423286387492E+74</v>
      </c>
    </row>
    <row r="81" spans="1:13" x14ac:dyDescent="0.25">
      <c r="A81">
        <v>79</v>
      </c>
      <c r="B81">
        <v>42203</v>
      </c>
      <c r="C81">
        <f t="shared" si="8"/>
        <v>3162</v>
      </c>
      <c r="G81">
        <f t="shared" si="15"/>
        <v>38998.796327229669</v>
      </c>
      <c r="H81">
        <f t="shared" si="9"/>
        <v>38698.556273273556</v>
      </c>
      <c r="I81">
        <f t="shared" si="10"/>
        <v>300540.29401010711</v>
      </c>
      <c r="J81">
        <f t="shared" si="11"/>
        <v>1.0877324864599236E+97</v>
      </c>
      <c r="K81">
        <f t="shared" si="12"/>
        <v>8.6131136025816651E+75</v>
      </c>
      <c r="L81">
        <f t="shared" si="13"/>
        <v>2919.0105675832647</v>
      </c>
      <c r="M81">
        <f t="shared" si="14"/>
        <v>5.1574452533913904E+75</v>
      </c>
    </row>
    <row r="82" spans="1:13" x14ac:dyDescent="0.25">
      <c r="A82">
        <v>80</v>
      </c>
      <c r="B82">
        <v>39041</v>
      </c>
      <c r="C82">
        <f t="shared" si="8"/>
        <v>3217</v>
      </c>
      <c r="G82">
        <f t="shared" si="15"/>
        <v>36040.825923155673</v>
      </c>
      <c r="H82">
        <f t="shared" si="9"/>
        <v>35779.545705690296</v>
      </c>
      <c r="I82">
        <f t="shared" si="10"/>
        <v>261541.49768287729</v>
      </c>
      <c r="J82">
        <f t="shared" si="11"/>
        <v>1.0877324864599236E+97</v>
      </c>
      <c r="K82">
        <f t="shared" si="12"/>
        <v>6.3678627494514004E+76</v>
      </c>
      <c r="L82">
        <f t="shared" si="13"/>
        <v>2966.8171789991679</v>
      </c>
      <c r="M82">
        <f t="shared" si="14"/>
        <v>4.1935297795588601E+76</v>
      </c>
    </row>
    <row r="83" spans="1:13" x14ac:dyDescent="0.25">
      <c r="A83">
        <v>81</v>
      </c>
      <c r="B83">
        <v>35824</v>
      </c>
      <c r="C83">
        <f t="shared" si="8"/>
        <v>3306</v>
      </c>
      <c r="G83">
        <f t="shared" si="15"/>
        <v>33038.003923054457</v>
      </c>
      <c r="H83">
        <f t="shared" si="9"/>
        <v>32812.728526691128</v>
      </c>
      <c r="I83">
        <f t="shared" si="10"/>
        <v>225500.67175972165</v>
      </c>
      <c r="J83">
        <f t="shared" si="11"/>
        <v>1.0877324864599236E+97</v>
      </c>
      <c r="K83">
        <f t="shared" si="12"/>
        <v>4.6698480206066704E+77</v>
      </c>
      <c r="L83">
        <f t="shared" si="13"/>
        <v>3045.8498895482044</v>
      </c>
      <c r="M83">
        <f t="shared" si="14"/>
        <v>3.444192599746312E+77</v>
      </c>
    </row>
    <row r="84" spans="1:13" x14ac:dyDescent="0.25">
      <c r="A84">
        <v>82</v>
      </c>
      <c r="B84">
        <v>32518</v>
      </c>
      <c r="C84">
        <f t="shared" si="8"/>
        <v>3298</v>
      </c>
      <c r="G84">
        <f t="shared" si="15"/>
        <v>29959.149034582126</v>
      </c>
      <c r="H84">
        <f t="shared" si="9"/>
        <v>29766.878637142927</v>
      </c>
      <c r="I84">
        <f t="shared" si="10"/>
        <v>192462.66783666715</v>
      </c>
      <c r="J84">
        <f t="shared" si="11"/>
        <v>1.0877324864599236E+97</v>
      </c>
      <c r="K84">
        <f t="shared" si="12"/>
        <v>3.3877270102404891E+78</v>
      </c>
      <c r="L84">
        <f t="shared" si="13"/>
        <v>3035.443967928617</v>
      </c>
      <c r="M84">
        <f t="shared" si="14"/>
        <v>2.7459406156972689E+78</v>
      </c>
    </row>
    <row r="85" spans="1:13" x14ac:dyDescent="0.25">
      <c r="A85">
        <v>83</v>
      </c>
      <c r="B85">
        <v>29220</v>
      </c>
      <c r="C85">
        <f t="shared" si="8"/>
        <v>3258</v>
      </c>
      <c r="G85">
        <f t="shared" si="15"/>
        <v>26893.775846838747</v>
      </c>
      <c r="H85">
        <f t="shared" si="9"/>
        <v>26731.434669214312</v>
      </c>
      <c r="I85">
        <f t="shared" si="10"/>
        <v>162503.51880208502</v>
      </c>
      <c r="J85">
        <f t="shared" si="11"/>
        <v>1.0877324864599236E+97</v>
      </c>
      <c r="K85">
        <f t="shared" si="12"/>
        <v>2.4328800724886051E+79</v>
      </c>
      <c r="L85">
        <f t="shared" si="13"/>
        <v>2995.6327624805258</v>
      </c>
      <c r="M85">
        <f t="shared" si="14"/>
        <v>2.1679411009709998E+79</v>
      </c>
    </row>
    <row r="86" spans="1:13" x14ac:dyDescent="0.25">
      <c r="A86">
        <v>84</v>
      </c>
      <c r="B86">
        <v>25962</v>
      </c>
      <c r="C86">
        <f t="shared" si="8"/>
        <v>3182</v>
      </c>
      <c r="G86">
        <f t="shared" si="15"/>
        <v>23871.276175420324</v>
      </c>
      <c r="H86">
        <f t="shared" si="9"/>
        <v>23735.801906733788</v>
      </c>
      <c r="I86">
        <f t="shared" si="10"/>
        <v>135609.74295524633</v>
      </c>
      <c r="J86">
        <f t="shared" si="11"/>
        <v>1.0877324864599236E+97</v>
      </c>
      <c r="K86">
        <f t="shared" si="12"/>
        <v>1.7275655881954911E+80</v>
      </c>
      <c r="L86">
        <f t="shared" si="13"/>
        <v>2922.8302238623974</v>
      </c>
      <c r="M86">
        <f t="shared" si="14"/>
        <v>1.6922030905349332E+80</v>
      </c>
    </row>
    <row r="87" spans="1:13" x14ac:dyDescent="0.25">
      <c r="A87">
        <v>85</v>
      </c>
      <c r="B87">
        <v>22780</v>
      </c>
      <c r="C87">
        <f t="shared" si="8"/>
        <v>3055</v>
      </c>
      <c r="G87">
        <f t="shared" si="15"/>
        <v>20924.598522811255</v>
      </c>
      <c r="H87">
        <f t="shared" si="9"/>
        <v>20812.971682871386</v>
      </c>
      <c r="I87">
        <f t="shared" si="10"/>
        <v>111738.46677982603</v>
      </c>
      <c r="J87">
        <f t="shared" si="11"/>
        <v>1.0877324864599236E+97</v>
      </c>
      <c r="K87">
        <f t="shared" si="12"/>
        <v>1.2114514897041414E+81</v>
      </c>
      <c r="L87">
        <f t="shared" si="13"/>
        <v>2803.370838432349</v>
      </c>
      <c r="M87">
        <f t="shared" si="14"/>
        <v>1.2984326651561436E+81</v>
      </c>
    </row>
    <row r="88" spans="1:13" x14ac:dyDescent="0.25">
      <c r="A88">
        <v>86</v>
      </c>
      <c r="B88">
        <v>19725</v>
      </c>
      <c r="C88">
        <f t="shared" si="8"/>
        <v>2882</v>
      </c>
      <c r="G88">
        <f t="shared" si="15"/>
        <v>18100.323989550929</v>
      </c>
      <c r="H88">
        <f t="shared" si="9"/>
        <v>18009.600844439039</v>
      </c>
      <c r="I88">
        <f t="shared" si="10"/>
        <v>90813.868257014779</v>
      </c>
      <c r="J88">
        <f t="shared" si="11"/>
        <v>1.0877324864599235E+97</v>
      </c>
      <c r="K88">
        <f t="shared" si="12"/>
        <v>8.3834973224893397E+81</v>
      </c>
      <c r="L88">
        <f t="shared" si="13"/>
        <v>2641.9782366118434</v>
      </c>
      <c r="M88">
        <f t="shared" si="14"/>
        <v>9.7894457515774031E+81</v>
      </c>
    </row>
    <row r="89" spans="1:13" x14ac:dyDescent="0.25">
      <c r="A89">
        <v>87</v>
      </c>
      <c r="B89">
        <v>16843</v>
      </c>
      <c r="C89">
        <f t="shared" si="8"/>
        <v>2710</v>
      </c>
      <c r="G89">
        <f t="shared" si="15"/>
        <v>15440.263511191282</v>
      </c>
      <c r="H89">
        <f t="shared" si="9"/>
        <v>15367.622607827192</v>
      </c>
      <c r="I89">
        <f t="shared" si="10"/>
        <v>72713.544267463833</v>
      </c>
      <c r="J89">
        <f t="shared" si="11"/>
        <v>1.0877324864599225E+97</v>
      </c>
      <c r="K89">
        <f t="shared" si="12"/>
        <v>5.7211531850734973E+82</v>
      </c>
      <c r="L89">
        <f t="shared" si="13"/>
        <v>2481.8211009039874</v>
      </c>
      <c r="M89">
        <f t="shared" si="14"/>
        <v>7.3568064099050855E+82</v>
      </c>
    </row>
    <row r="90" spans="1:13" x14ac:dyDescent="0.25">
      <c r="A90">
        <v>88</v>
      </c>
      <c r="B90">
        <v>14133</v>
      </c>
      <c r="C90">
        <f t="shared" si="8"/>
        <v>2508</v>
      </c>
      <c r="G90">
        <f t="shared" si="15"/>
        <v>12943.017571614781</v>
      </c>
      <c r="H90">
        <f t="shared" si="9"/>
        <v>12885.801506923204</v>
      </c>
      <c r="I90">
        <f t="shared" si="10"/>
        <v>57273.280756272557</v>
      </c>
      <c r="J90">
        <f t="shared" si="11"/>
        <v>1.0877324864599151E+97</v>
      </c>
      <c r="K90">
        <f t="shared" si="12"/>
        <v>3.8366695568704272E+83</v>
      </c>
      <c r="L90">
        <f t="shared" si="13"/>
        <v>2294.5347350314632</v>
      </c>
      <c r="M90">
        <f t="shared" si="14"/>
        <v>5.4413101219199831E+83</v>
      </c>
    </row>
    <row r="91" spans="1:13" x14ac:dyDescent="0.25">
      <c r="A91">
        <v>89</v>
      </c>
      <c r="B91">
        <v>11625</v>
      </c>
      <c r="C91">
        <f t="shared" si="8"/>
        <v>2236</v>
      </c>
      <c r="G91">
        <f t="shared" si="15"/>
        <v>10635.552749099186</v>
      </c>
      <c r="H91">
        <f t="shared" si="9"/>
        <v>10591.266771891742</v>
      </c>
      <c r="I91">
        <f t="shared" si="10"/>
        <v>44330.263184657771</v>
      </c>
      <c r="J91">
        <f t="shared" si="11"/>
        <v>1.0877324864598607E+97</v>
      </c>
      <c r="K91">
        <f t="shared" si="12"/>
        <v>2.5221383639282218E+84</v>
      </c>
      <c r="L91">
        <f t="shared" si="13"/>
        <v>2043.6420308281643</v>
      </c>
      <c r="M91">
        <f t="shared" si="14"/>
        <v>3.8770701173190706E+84</v>
      </c>
    </row>
    <row r="92" spans="1:13" x14ac:dyDescent="0.25">
      <c r="A92">
        <v>90</v>
      </c>
      <c r="B92">
        <v>9389</v>
      </c>
      <c r="C92">
        <f t="shared" si="8"/>
        <v>1951</v>
      </c>
      <c r="G92">
        <f t="shared" si="15"/>
        <v>8581.2857904497469</v>
      </c>
      <c r="H92">
        <f t="shared" si="9"/>
        <v>8547.6247410635788</v>
      </c>
      <c r="I92">
        <f t="shared" si="10"/>
        <v>33694.710435558591</v>
      </c>
      <c r="J92">
        <f t="shared" si="11"/>
        <v>1.0877324864594731E+97</v>
      </c>
      <c r="K92">
        <f t="shared" si="12"/>
        <v>1.6279879844145239E+85</v>
      </c>
      <c r="L92">
        <f t="shared" si="13"/>
        <v>1781.3785508524343</v>
      </c>
      <c r="M92">
        <f t="shared" si="14"/>
        <v>2.7036161687648682E+85</v>
      </c>
    </row>
    <row r="93" spans="1:13" x14ac:dyDescent="0.25">
      <c r="A93">
        <v>91</v>
      </c>
      <c r="B93">
        <v>7438</v>
      </c>
      <c r="C93">
        <f t="shared" si="8"/>
        <v>1675</v>
      </c>
      <c r="G93">
        <f t="shared" si="15"/>
        <v>6791.3345265199414</v>
      </c>
      <c r="H93">
        <f t="shared" si="9"/>
        <v>6766.2461902111463</v>
      </c>
      <c r="I93">
        <f t="shared" si="10"/>
        <v>25113.42464510884</v>
      </c>
      <c r="J93">
        <f t="shared" si="11"/>
        <v>1.0877324864567693E+97</v>
      </c>
      <c r="K93">
        <f t="shared" si="12"/>
        <v>1.0307276813568984E+86</v>
      </c>
      <c r="L93">
        <f t="shared" si="13"/>
        <v>1527.846357987388</v>
      </c>
      <c r="M93">
        <f t="shared" si="14"/>
        <v>1.8550622448514694E+86</v>
      </c>
    </row>
    <row r="94" spans="1:13" x14ac:dyDescent="0.25">
      <c r="A94">
        <v>92</v>
      </c>
      <c r="B94">
        <v>5763</v>
      </c>
      <c r="C94">
        <f t="shared" si="8"/>
        <v>1413</v>
      </c>
      <c r="G94">
        <f t="shared" si="15"/>
        <v>5256.703618556011</v>
      </c>
      <c r="H94">
        <f t="shared" si="9"/>
        <v>5238.3998322237585</v>
      </c>
      <c r="I94">
        <f t="shared" si="10"/>
        <v>18322.090118588902</v>
      </c>
      <c r="J94">
        <f t="shared" si="11"/>
        <v>1.0877324864382187E+97</v>
      </c>
      <c r="K94">
        <f t="shared" si="12"/>
        <v>6.382521622136727E+86</v>
      </c>
      <c r="L94">
        <f t="shared" si="13"/>
        <v>1287.5762469388403</v>
      </c>
      <c r="M94">
        <f t="shared" si="14"/>
        <v>1.2506671606483668E+87</v>
      </c>
    </row>
    <row r="95" spans="1:13" x14ac:dyDescent="0.25">
      <c r="A95">
        <v>93</v>
      </c>
      <c r="B95">
        <v>4350</v>
      </c>
      <c r="C95">
        <f t="shared" si="8"/>
        <v>1139</v>
      </c>
      <c r="G95">
        <f t="shared" si="15"/>
        <v>3963.8759194507825</v>
      </c>
      <c r="H95">
        <f t="shared" si="9"/>
        <v>3950.8235852849161</v>
      </c>
      <c r="I95">
        <f t="shared" si="10"/>
        <v>13065.386500032895</v>
      </c>
      <c r="J95">
        <f t="shared" si="11"/>
        <v>1.0877324863131522E+97</v>
      </c>
      <c r="K95">
        <f t="shared" si="12"/>
        <v>3.8502492206796858E+87</v>
      </c>
      <c r="L95">
        <f t="shared" si="13"/>
        <v>1036.8607650405781</v>
      </c>
      <c r="M95">
        <f t="shared" si="14"/>
        <v>8.0571086152544648E+87</v>
      </c>
    </row>
    <row r="96" spans="1:13" x14ac:dyDescent="0.25">
      <c r="A96">
        <v>94</v>
      </c>
      <c r="B96">
        <v>3211</v>
      </c>
      <c r="C96">
        <f t="shared" si="8"/>
        <v>896</v>
      </c>
      <c r="G96">
        <f t="shared" si="15"/>
        <v>2923.0552384067573</v>
      </c>
      <c r="H96">
        <f t="shared" si="9"/>
        <v>2913.9628202443382</v>
      </c>
      <c r="I96">
        <f t="shared" si="10"/>
        <v>9101.5105805821149</v>
      </c>
      <c r="J96">
        <f t="shared" si="11"/>
        <v>1.0877324855074412E+97</v>
      </c>
      <c r="K96">
        <f t="shared" si="12"/>
        <v>2.2714113927640114E+88</v>
      </c>
      <c r="L96">
        <f t="shared" si="13"/>
        <v>814.83682733101682</v>
      </c>
      <c r="M96">
        <f t="shared" si="14"/>
        <v>5.0654661014265802E+88</v>
      </c>
    </row>
    <row r="97" spans="1:13" x14ac:dyDescent="0.25">
      <c r="A97">
        <v>95</v>
      </c>
      <c r="B97">
        <v>2315</v>
      </c>
      <c r="C97">
        <f t="shared" si="8"/>
        <v>680</v>
      </c>
      <c r="G97">
        <f t="shared" si="15"/>
        <v>2105.2982759724373</v>
      </c>
      <c r="H97">
        <f t="shared" si="9"/>
        <v>2099.1259929133212</v>
      </c>
      <c r="I97">
        <f t="shared" si="10"/>
        <v>6178.4553421753544</v>
      </c>
      <c r="J97">
        <f t="shared" si="11"/>
        <v>1.087732480441975E+97</v>
      </c>
      <c r="K97">
        <f t="shared" si="12"/>
        <v>1.3087671902681399E+89</v>
      </c>
      <c r="L97">
        <f t="shared" si="13"/>
        <v>617.78516414956857</v>
      </c>
      <c r="M97">
        <f t="shared" si="14"/>
        <v>3.0723891724080145E+89</v>
      </c>
    </row>
    <row r="98" spans="1:13" x14ac:dyDescent="0.25">
      <c r="A98">
        <v>96</v>
      </c>
      <c r="B98">
        <v>1635</v>
      </c>
      <c r="C98">
        <f t="shared" si="8"/>
        <v>520</v>
      </c>
      <c r="G98">
        <f t="shared" si="15"/>
        <v>1485.4099167419774</v>
      </c>
      <c r="H98">
        <f t="shared" si="9"/>
        <v>1481.3408287637531</v>
      </c>
      <c r="I98">
        <f t="shared" si="10"/>
        <v>4073.1570662029176</v>
      </c>
      <c r="J98">
        <f t="shared" si="11"/>
        <v>1.0877324497180833E+97</v>
      </c>
      <c r="K98">
        <f t="shared" si="12"/>
        <v>7.3872886718927994E+89</v>
      </c>
      <c r="L98">
        <f t="shared" si="13"/>
        <v>471.95199705849399</v>
      </c>
      <c r="M98">
        <f t="shared" si="14"/>
        <v>1.8777015568574566E+90</v>
      </c>
    </row>
    <row r="99" spans="1:13" x14ac:dyDescent="0.25">
      <c r="A99">
        <v>97</v>
      </c>
      <c r="B99">
        <v>1115</v>
      </c>
      <c r="C99">
        <f t="shared" si="8"/>
        <v>375</v>
      </c>
      <c r="G99">
        <f t="shared" si="15"/>
        <v>1011.9739936927323</v>
      </c>
      <c r="H99">
        <f t="shared" si="9"/>
        <v>1009.3888317052595</v>
      </c>
      <c r="I99">
        <f t="shared" si="10"/>
        <v>2587.7471494609399</v>
      </c>
      <c r="J99">
        <f t="shared" si="11"/>
        <v>1.0877322619479277E+97</v>
      </c>
      <c r="K99">
        <f t="shared" si="12"/>
        <v>4.0262254536462771E+90</v>
      </c>
      <c r="L99">
        <f t="shared" si="13"/>
        <v>340.00998789083087</v>
      </c>
      <c r="M99">
        <f t="shared" si="14"/>
        <v>1.0822071525728826E+91</v>
      </c>
    </row>
    <row r="100" spans="1:13" x14ac:dyDescent="0.25">
      <c r="A100">
        <v>98</v>
      </c>
      <c r="B100">
        <v>740</v>
      </c>
      <c r="C100">
        <f t="shared" si="8"/>
        <v>287</v>
      </c>
      <c r="G100">
        <f t="shared" si="15"/>
        <v>670.95304277123955</v>
      </c>
      <c r="H100">
        <f t="shared" si="9"/>
        <v>669.37884381442859</v>
      </c>
      <c r="I100">
        <f t="shared" si="10"/>
        <v>1575.7731557682071</v>
      </c>
      <c r="J100">
        <f t="shared" si="11"/>
        <v>1.0877311797407751E+97</v>
      </c>
      <c r="K100">
        <f t="shared" si="12"/>
        <v>2.1355554477438218E+91</v>
      </c>
      <c r="L100">
        <f t="shared" si="13"/>
        <v>259.96101638273319</v>
      </c>
      <c r="M100">
        <f t="shared" si="14"/>
        <v>6.6193742852010327E+91</v>
      </c>
    </row>
    <row r="101" spans="1:13" x14ac:dyDescent="0.25">
      <c r="A101">
        <v>99</v>
      </c>
      <c r="B101">
        <v>453</v>
      </c>
      <c r="C101">
        <f t="shared" si="8"/>
        <v>190</v>
      </c>
      <c r="G101">
        <f t="shared" si="15"/>
        <v>410.3217436284952</v>
      </c>
      <c r="H101">
        <f t="shared" si="9"/>
        <v>409.41782743169523</v>
      </c>
      <c r="I101">
        <f t="shared" si="10"/>
        <v>904.82011299696751</v>
      </c>
      <c r="J101">
        <f t="shared" si="11"/>
        <v>1.08772456036649E+97</v>
      </c>
      <c r="K101">
        <f t="shared" si="12"/>
        <v>1.0448001920543789E+92</v>
      </c>
      <c r="L101">
        <f t="shared" si="13"/>
        <v>171.92769987058</v>
      </c>
      <c r="M101">
        <f t="shared" si="14"/>
        <v>3.5022290996479362E+92</v>
      </c>
    </row>
    <row r="102" spans="1:13" x14ac:dyDescent="0.25">
      <c r="A102">
        <v>100</v>
      </c>
      <c r="B102">
        <v>263</v>
      </c>
      <c r="C102">
        <f t="shared" si="8"/>
        <v>118</v>
      </c>
      <c r="G102">
        <f t="shared" si="15"/>
        <v>237.98413192611861</v>
      </c>
      <c r="H102">
        <f t="shared" si="9"/>
        <v>237.49012756111523</v>
      </c>
      <c r="I102">
        <f t="shared" si="10"/>
        <v>494.49836936847231</v>
      </c>
      <c r="J102">
        <f t="shared" si="11"/>
        <v>1.0876895380754934E+97</v>
      </c>
      <c r="K102">
        <f t="shared" si="12"/>
        <v>4.8478223853021433E+92</v>
      </c>
      <c r="L102">
        <f t="shared" si="13"/>
        <v>106.6694809649742</v>
      </c>
      <c r="M102">
        <f t="shared" si="14"/>
        <v>1.7383165624205536E+93</v>
      </c>
    </row>
    <row r="103" spans="1:13" x14ac:dyDescent="0.25">
      <c r="A103">
        <v>101</v>
      </c>
      <c r="B103">
        <v>145</v>
      </c>
      <c r="C103">
        <f t="shared" si="8"/>
        <v>69</v>
      </c>
      <c r="G103">
        <f t="shared" si="15"/>
        <v>131.07690457560389</v>
      </c>
      <c r="H103">
        <f t="shared" si="9"/>
        <v>130.82064659614105</v>
      </c>
      <c r="I103">
        <f t="shared" si="10"/>
        <v>256.51423744235382</v>
      </c>
      <c r="J103">
        <f t="shared" si="11"/>
        <v>1.0875157064192514E+97</v>
      </c>
      <c r="K103">
        <f t="shared" si="12"/>
        <v>2.136066962296443E+93</v>
      </c>
      <c r="L103">
        <f t="shared" si="13"/>
        <v>62.312214790152403</v>
      </c>
      <c r="M103">
        <f t="shared" si="14"/>
        <v>8.1236622907274532E+93</v>
      </c>
    </row>
    <row r="104" spans="1:13" x14ac:dyDescent="0.25">
      <c r="A104">
        <v>102</v>
      </c>
      <c r="B104">
        <v>76</v>
      </c>
      <c r="C104">
        <f t="shared" si="8"/>
        <v>39</v>
      </c>
      <c r="G104">
        <f t="shared" si="15"/>
        <v>68.633743826834532</v>
      </c>
      <c r="H104">
        <f t="shared" si="9"/>
        <v>68.50843180598865</v>
      </c>
      <c r="I104">
        <f t="shared" si="10"/>
        <v>125.4373328667499</v>
      </c>
      <c r="J104">
        <f t="shared" si="11"/>
        <v>1.0867033401901786E+97</v>
      </c>
      <c r="K104">
        <f t="shared" si="12"/>
        <v>8.9478019434099477E+93</v>
      </c>
      <c r="L104">
        <f t="shared" si="13"/>
        <v>35.184762727358788</v>
      </c>
      <c r="M104">
        <f t="shared" si="14"/>
        <v>3.6696385277142638E+94</v>
      </c>
    </row>
    <row r="105" spans="1:13" x14ac:dyDescent="0.25">
      <c r="A105">
        <v>103</v>
      </c>
      <c r="B105">
        <v>37</v>
      </c>
      <c r="C105">
        <f t="shared" si="8"/>
        <v>20</v>
      </c>
      <c r="G105">
        <f t="shared" si="15"/>
        <v>33.380415920827566</v>
      </c>
      <c r="H105">
        <f t="shared" si="9"/>
        <v>33.323669078629855</v>
      </c>
      <c r="I105">
        <f t="shared" si="10"/>
        <v>56.80358903991538</v>
      </c>
      <c r="J105">
        <f t="shared" si="11"/>
        <v>1.0830337016624644E+97</v>
      </c>
      <c r="K105">
        <f t="shared" si="12"/>
        <v>3.481451936549429E+94</v>
      </c>
      <c r="L105">
        <f t="shared" si="13"/>
        <v>18.025442622689511</v>
      </c>
      <c r="M105">
        <f t="shared" si="14"/>
        <v>1.5039887405780936E+95</v>
      </c>
    </row>
    <row r="106" spans="1:13" x14ac:dyDescent="0.25">
      <c r="A106">
        <v>104</v>
      </c>
      <c r="B106">
        <v>17</v>
      </c>
      <c r="C106">
        <f t="shared" si="8"/>
        <v>10</v>
      </c>
      <c r="G106">
        <f t="shared" si="15"/>
        <v>15.321626229286084</v>
      </c>
      <c r="H106">
        <f t="shared" si="9"/>
        <v>15.298226455940345</v>
      </c>
      <c r="I106">
        <f t="shared" si="10"/>
        <v>23.423173119087814</v>
      </c>
      <c r="J106">
        <f t="shared" si="11"/>
        <v>1.0679938142566835E+97</v>
      </c>
      <c r="K106">
        <f t="shared" si="12"/>
        <v>1.2783904294913795E+95</v>
      </c>
      <c r="L106">
        <f t="shared" si="13"/>
        <v>9.0037175937510039</v>
      </c>
      <c r="M106">
        <f t="shared" si="14"/>
        <v>6.0099450172950778E+95</v>
      </c>
    </row>
    <row r="107" spans="1:13" x14ac:dyDescent="0.25">
      <c r="A107">
        <v>105</v>
      </c>
      <c r="B107">
        <v>7</v>
      </c>
      <c r="C107">
        <f t="shared" si="8"/>
        <v>5</v>
      </c>
      <c r="G107">
        <f t="shared" si="15"/>
        <v>6.3026023156257027</v>
      </c>
      <c r="H107">
        <f t="shared" si="9"/>
        <v>6.294508862189339</v>
      </c>
      <c r="I107">
        <f t="shared" si="10"/>
        <v>8.1015468898017282</v>
      </c>
      <c r="J107">
        <f t="shared" si="11"/>
        <v>1.0078943640837326E+97</v>
      </c>
      <c r="K107">
        <f t="shared" si="12"/>
        <v>4.2069615121065542E+95</v>
      </c>
      <c r="L107">
        <f t="shared" si="13"/>
        <v>4.4973614354400633</v>
      </c>
      <c r="M107">
        <f t="shared" si="14"/>
        <v>2.4015764304875428E+96</v>
      </c>
    </row>
    <row r="108" spans="1:13" x14ac:dyDescent="0.25">
      <c r="A108">
        <v>106</v>
      </c>
      <c r="B108">
        <v>2</v>
      </c>
      <c r="C108">
        <f t="shared" si="8"/>
        <v>2</v>
      </c>
      <c r="G108">
        <f t="shared" si="15"/>
        <v>1.7989445741760253</v>
      </c>
      <c r="H108">
        <f t="shared" si="9"/>
        <v>1.7971474267492762</v>
      </c>
      <c r="I108">
        <f t="shared" si="10"/>
        <v>1.7989445741760253</v>
      </c>
      <c r="J108">
        <f t="shared" si="11"/>
        <v>7.6773672103497837E+96</v>
      </c>
      <c r="K108">
        <f t="shared" si="12"/>
        <v>9.6063057219501711E+95</v>
      </c>
      <c r="L108">
        <f t="shared" si="13"/>
        <v>1.7971474267492762</v>
      </c>
      <c r="M108">
        <f t="shared" si="14"/>
        <v>7.6773672103497837E+96</v>
      </c>
    </row>
    <row r="109" spans="1:13" x14ac:dyDescent="0.25">
      <c r="A109">
        <v>107</v>
      </c>
      <c r="B109">
        <v>0</v>
      </c>
      <c r="C109">
        <f t="shared" si="8"/>
        <v>0</v>
      </c>
      <c r="G109">
        <f t="shared" si="15"/>
        <v>0</v>
      </c>
      <c r="H109">
        <f t="shared" si="9"/>
        <v>0</v>
      </c>
      <c r="I109">
        <f t="shared" si="10"/>
        <v>0</v>
      </c>
      <c r="J109">
        <f t="shared" si="11"/>
        <v>0</v>
      </c>
      <c r="K109">
        <f>(E$9^A109)*B109</f>
        <v>0</v>
      </c>
      <c r="L109">
        <f t="shared" si="13"/>
        <v>0</v>
      </c>
      <c r="M109">
        <f t="shared" si="14"/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ter">
                <anchor moveWithCells="1" sizeWithCells="1">
                  <from>
                    <xdr:col>3</xdr:col>
                    <xdr:colOff>19050</xdr:colOff>
                    <xdr:row>0</xdr:row>
                    <xdr:rowOff>47625</xdr:rowOff>
                  </from>
                  <to>
                    <xdr:col>5</xdr:col>
                    <xdr:colOff>247650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</dc:creator>
  <cp:lastModifiedBy>hp</cp:lastModifiedBy>
  <dcterms:created xsi:type="dcterms:W3CDTF">2021-02-08T22:01:02Z</dcterms:created>
  <dcterms:modified xsi:type="dcterms:W3CDTF">2021-02-14T00:17:04Z</dcterms:modified>
</cp:coreProperties>
</file>